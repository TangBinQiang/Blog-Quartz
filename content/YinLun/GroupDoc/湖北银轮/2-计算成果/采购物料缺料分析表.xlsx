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tabRatio="783" activeTab="6"/>
  </bookViews>
  <sheets>
    <sheet name="表格说明" sheetId="10" r:id="rId1"/>
    <sheet name="1.原始生产计划" sheetId="1" r:id="rId2"/>
    <sheet name="2.BOM表" sheetId="2" r:id="rId3"/>
    <sheet name="3.物料库存表" sheetId="3" r:id="rId4"/>
    <sheet name="4.物料需求明细表" sheetId="8" r:id="rId5"/>
    <sheet name="5.物料需求汇总表" sheetId="7" r:id="rId6"/>
    <sheet name="6.缺料明细表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<sst xmlns="http://schemas.openxmlformats.org/spreadsheetml/2006/main" count="1334" uniqueCount="204">
  <si>
    <t>序号</t>
  </si>
  <si>
    <t>表名</t>
  </si>
  <si>
    <t>说明</t>
  </si>
  <si>
    <t>备注</t>
  </si>
  <si>
    <t>1.原始生产计划</t>
  </si>
  <si>
    <t>1.线下编制生成计划，按照模板导入WMS系统</t>
  </si>
  <si>
    <t>1.导入时，需校验“产品编码”是否唯一；若存在重复，则不允许导入</t>
  </si>
  <si>
    <t>2.BOM表</t>
  </si>
  <si>
    <t>1.同步U8 ERP系统的BOM信息，全阶同步</t>
  </si>
  <si>
    <t>3.物料库存表</t>
  </si>
  <si>
    <t>1.同步U8 ERP系统的原材料库（代管/非代管）的库存信息</t>
  </si>
  <si>
    <t>4.物料需求明细表</t>
  </si>
  <si>
    <t>1.根据原始生成计划、BOM表、物料库存表，系统计算采购物料需求信息</t>
  </si>
  <si>
    <r>
      <rPr>
        <sz val="11"/>
        <color theme="1"/>
        <rFont val="宋体"/>
        <charset val="134"/>
        <scheme val="minor"/>
      </rPr>
      <t>1.根据按钮（条件），选择</t>
    </r>
    <r>
      <rPr>
        <sz val="11"/>
        <color rgb="FFFF0000"/>
        <rFont val="宋体"/>
        <charset val="134"/>
        <scheme val="minor"/>
      </rPr>
      <t>计算第一阶的采购件、还是计算全阶的采购件
2.当前库存=库存表下同一物料的合计，不区分仓库</t>
    </r>
  </si>
  <si>
    <t>5.物料需求汇总表</t>
  </si>
  <si>
    <t>1.基于《物料需求明细表》，去除【产品编码】、【产品名称】，以物料维度、日期展示需求信息，如果存在通用件（物料编码一致），则合并需求信息（【需求总量】=累加的【需求数量】）</t>
  </si>
  <si>
    <t>6.缺料明细表</t>
  </si>
  <si>
    <t>1.基于《物料需求汇总表》，展示【需求】、【结存库存】等信息</t>
  </si>
  <si>
    <t>1.当日结存库存=前一天的结存库存-当日需求，可以是负数</t>
  </si>
  <si>
    <t>客户名称</t>
  </si>
  <si>
    <t>产品类型</t>
  </si>
  <si>
    <t>产品编码</t>
  </si>
  <si>
    <t>客户件号</t>
  </si>
  <si>
    <t>计划数量（合计）</t>
  </si>
  <si>
    <t>后一月</t>
  </si>
  <si>
    <t>后二月</t>
  </si>
  <si>
    <t>东风商用车</t>
  </si>
  <si>
    <t>空空中冷器</t>
  </si>
  <si>
    <t>233701-01</t>
  </si>
  <si>
    <t>C1119010-H0100</t>
  </si>
  <si>
    <t>234595-01</t>
  </si>
  <si>
    <t>C1119010-H06B0</t>
  </si>
  <si>
    <t>234225-01</t>
  </si>
  <si>
    <t>C1119010-H19G0</t>
  </si>
  <si>
    <t>233110-01</t>
  </si>
  <si>
    <t>C1119010-KN5V0</t>
  </si>
  <si>
    <t>234055-01</t>
  </si>
  <si>
    <t>C1119010-T14N0</t>
  </si>
  <si>
    <t>233917-01</t>
  </si>
  <si>
    <t>C1119010-TL120</t>
  </si>
  <si>
    <t>234272-01</t>
  </si>
  <si>
    <t>C1119010-TL121</t>
  </si>
  <si>
    <t>散热器总成</t>
  </si>
  <si>
    <t>311148-01</t>
  </si>
  <si>
    <t>C1301010-H0100</t>
  </si>
  <si>
    <t>6737867-01</t>
  </si>
  <si>
    <t>C1301010-H01A0</t>
  </si>
  <si>
    <t>6747979-01</t>
  </si>
  <si>
    <t>C1301010-H02B0</t>
  </si>
  <si>
    <t>产品名称</t>
  </si>
  <si>
    <t>物料编码</t>
  </si>
  <si>
    <t>物料名称</t>
  </si>
  <si>
    <t>物料规格</t>
  </si>
  <si>
    <t>主计量单位</t>
  </si>
  <si>
    <t>基本用量</t>
  </si>
  <si>
    <t>供应商</t>
  </si>
  <si>
    <t>安全库存</t>
  </si>
  <si>
    <t>空空中冷器(233701-01)</t>
  </si>
  <si>
    <t>MAT-233701-01-001</t>
  </si>
  <si>
    <t>中冷器芯体</t>
  </si>
  <si>
    <t>300x200x50mm</t>
  </si>
  <si>
    <t>pcs</t>
  </si>
  <si>
    <t>XX散热器有限公司</t>
  </si>
  <si>
    <t>MAT-233701-01-002</t>
  </si>
  <si>
    <t>中冷器外壳</t>
  </si>
  <si>
    <t>320x220x60mm</t>
  </si>
  <si>
    <t>ZZ金属材料公司</t>
  </si>
  <si>
    <t>MAT-233701-01-003</t>
  </si>
  <si>
    <t>散热片</t>
  </si>
  <si>
    <t>50x10x2mm</t>
  </si>
  <si>
    <t>MAT-233701-01-004</t>
  </si>
  <si>
    <t>密封胶条</t>
  </si>
  <si>
    <t>10mm宽</t>
  </si>
  <si>
    <t>m</t>
  </si>
  <si>
    <t>AA密封材料厂</t>
  </si>
  <si>
    <t>空空中冷器(234595-01)</t>
  </si>
  <si>
    <t>MAT-234595-01-001</t>
  </si>
  <si>
    <t>MAT-234595-01-002</t>
  </si>
  <si>
    <t>MAT-234595-01-003</t>
  </si>
  <si>
    <t>YY五金制品厂</t>
  </si>
  <si>
    <t>MAT-234595-01-004</t>
  </si>
  <si>
    <t>BB机械配件厂</t>
  </si>
  <si>
    <t>空空中冷器(234225-01)</t>
  </si>
  <si>
    <t>MAT-234225-01-001</t>
  </si>
  <si>
    <t>MAT-234225-01-002</t>
  </si>
  <si>
    <t>MAT-234225-01-003</t>
  </si>
  <si>
    <t>MAT-234225-01-004</t>
  </si>
  <si>
    <t>空空中冷器(233110-01)</t>
  </si>
  <si>
    <t>MAT-233110-01-001</t>
  </si>
  <si>
    <t>MAT-233110-01-002</t>
  </si>
  <si>
    <t>MAT-233110-01-003</t>
  </si>
  <si>
    <t>空空中冷器(234055-01)</t>
  </si>
  <si>
    <t>MAT-234055-01-001</t>
  </si>
  <si>
    <t>MAT-234055-01-002</t>
  </si>
  <si>
    <t>MAT-234055-01-003</t>
  </si>
  <si>
    <t>空空中冷器(233917-01)</t>
  </si>
  <si>
    <t>MAT-233917-01-001</t>
  </si>
  <si>
    <t>MAT-233917-01-002</t>
  </si>
  <si>
    <t>MAT-233917-01-003</t>
  </si>
  <si>
    <t>空空中冷器(234272-01)</t>
  </si>
  <si>
    <t>MAT-234272-01-001</t>
  </si>
  <si>
    <t>MAT-234272-01-002</t>
  </si>
  <si>
    <t>MAT-234272-01-003</t>
  </si>
  <si>
    <t>MAT-234272-01-004</t>
  </si>
  <si>
    <t>MAT-234272-01-005</t>
  </si>
  <si>
    <t>端盖</t>
  </si>
  <si>
    <t>150x80mm</t>
  </si>
  <si>
    <t>散热器总成(311148-01)</t>
  </si>
  <si>
    <t>MAT-311148-01-001</t>
  </si>
  <si>
    <t>散热器芯体</t>
  </si>
  <si>
    <t>400x300x60mm</t>
  </si>
  <si>
    <t>MAT-311148-01-002</t>
  </si>
  <si>
    <t>散热器外壳</t>
  </si>
  <si>
    <t>420x320x70mm</t>
  </si>
  <si>
    <t>MAT-311148-01-003</t>
  </si>
  <si>
    <t>散热管</t>
  </si>
  <si>
    <t>8x10mm</t>
  </si>
  <si>
    <t>散热器总成(6737867-01)</t>
  </si>
  <si>
    <t>MAT-6737867-01-001</t>
  </si>
  <si>
    <t>MAT-6737867-01-002</t>
  </si>
  <si>
    <t>MAT-6737867-01-003</t>
  </si>
  <si>
    <t>MAT-6737867-01-004</t>
  </si>
  <si>
    <t>密封垫</t>
  </si>
  <si>
    <t>5mm厚</t>
  </si>
  <si>
    <t>散热器总成(6747979-01)</t>
  </si>
  <si>
    <t>MAT-6747979-01-001</t>
  </si>
  <si>
    <t>MAT-6747979-01-002</t>
  </si>
  <si>
    <t>MAT-6747979-01-003</t>
  </si>
  <si>
    <t>仓库名称</t>
  </si>
  <si>
    <t>当前库存</t>
  </si>
  <si>
    <t>ZZ金属材料公司、XX散热器有限公司</t>
  </si>
  <si>
    <t>需求数量</t>
  </si>
  <si>
    <t>MAT-310000-001</t>
  </si>
  <si>
    <t>水箱本体</t>
  </si>
  <si>
    <t>500x300x400mm</t>
  </si>
  <si>
    <t>XX水箱制造有限公司</t>
  </si>
  <si>
    <t>MAT-310000-002</t>
  </si>
  <si>
    <t>5x20mm</t>
  </si>
  <si>
    <t>GG密封材料厂</t>
  </si>
  <si>
    <t>MAT-310000-003</t>
  </si>
  <si>
    <t>进水口接头</t>
  </si>
  <si>
    <t>Φ40mm</t>
  </si>
  <si>
    <t>AA五金制品厂</t>
  </si>
  <si>
    <t>MAT-310000-004</t>
  </si>
  <si>
    <t>出水口接头</t>
  </si>
  <si>
    <t>Φ35mm</t>
  </si>
  <si>
    <t>MAT-310000-005</t>
  </si>
  <si>
    <t>液位传感器</t>
  </si>
  <si>
    <t>标准型</t>
  </si>
  <si>
    <t>DD电子科技公司</t>
  </si>
  <si>
    <t>MAT-310000-006</t>
  </si>
  <si>
    <t>固定卡扣</t>
  </si>
  <si>
    <t>塑料</t>
  </si>
  <si>
    <t>MAT-310100-007</t>
  </si>
  <si>
    <t>MAT-310100-008</t>
  </si>
  <si>
    <t>MAT-310100-009</t>
  </si>
  <si>
    <t>MAT-310100-010</t>
  </si>
  <si>
    <t>MAT-310100-011</t>
  </si>
  <si>
    <t>MAT-310100-012</t>
  </si>
  <si>
    <t>MAT-310200-013</t>
  </si>
  <si>
    <t>MAT-310200-014</t>
  </si>
  <si>
    <t>MAT-310200-015</t>
  </si>
  <si>
    <t>MAT-310200-016</t>
  </si>
  <si>
    <t>MAT-310200-017</t>
  </si>
  <si>
    <t>MAT-310200-018</t>
  </si>
  <si>
    <t>MAT-310300-019</t>
  </si>
  <si>
    <t>MAT-310300-020</t>
  </si>
  <si>
    <t>MAT-310300-021</t>
  </si>
  <si>
    <t>MAT-310300-022</t>
  </si>
  <si>
    <t>MAT-310300-023</t>
  </si>
  <si>
    <t>MAT-310300-024</t>
  </si>
  <si>
    <t>MAT-310400-025</t>
  </si>
  <si>
    <t>MAT-310400-026</t>
  </si>
  <si>
    <t>MAT-310400-027</t>
  </si>
  <si>
    <t>MAT-310400-028</t>
  </si>
  <si>
    <t>MAT-310400-029</t>
  </si>
  <si>
    <t>MAT-310400-030</t>
  </si>
  <si>
    <t>MAT-310500-031</t>
  </si>
  <si>
    <t>MAT-310500-032</t>
  </si>
  <si>
    <t>MAT-310500-033</t>
  </si>
  <si>
    <t>MAT-310500-034</t>
  </si>
  <si>
    <t>MAT-310500-035</t>
  </si>
  <si>
    <t>MAT-310500-036</t>
  </si>
  <si>
    <t>MAT-310600-037</t>
  </si>
  <si>
    <t>MAT-310600-038</t>
  </si>
  <si>
    <t>MAT-310600-039</t>
  </si>
  <si>
    <t>MAT-310600-040</t>
  </si>
  <si>
    <t>MAT-310600-041</t>
  </si>
  <si>
    <t>MAT-310600-042</t>
  </si>
  <si>
    <t>MAT-310700-043</t>
  </si>
  <si>
    <t>MAT-310700-044</t>
  </si>
  <si>
    <t>MAT-310700-045</t>
  </si>
  <si>
    <t>MAT-310700-046</t>
  </si>
  <si>
    <t>MAT-310700-047</t>
  </si>
  <si>
    <t>MAT-310700-048</t>
  </si>
  <si>
    <t>需求总量</t>
  </si>
  <si>
    <t>XX水箱制造有限公司/ GG密封材料厂</t>
  </si>
  <si>
    <t>MAT-320000-049</t>
  </si>
  <si>
    <t>控制主板</t>
  </si>
  <si>
    <t>150x100mm</t>
  </si>
  <si>
    <t>对应产品编码</t>
  </si>
  <si>
    <t>缺料数</t>
  </si>
  <si>
    <t>需求</t>
  </si>
  <si>
    <t>结存库存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</si>
</sst>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30C521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30C521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10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58" fontId="3" fillId="4" borderId="1" xfId="0" applyNumberFormat="1" applyFont="1" applyFill="1" applyBorder="1" applyAlignment="1">
      <alignment horizontal="center" vertical="center"/>
    </xf>
    <xf numFmtId="58" fontId="2" fillId="4" borderId="1" xfId="0" applyNumberFormat="1" applyFont="1" applyFill="1" applyBorder="1" applyAlignment="1">
      <alignment horizontal="center" vertical="center"/>
    </xf>
    <xf numFmtId="58" fontId="3" fillId="4" borderId="1" xfId="0" applyNumberFormat="1" applyFont="1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58" fontId="4" fillId="5" borderId="1" xfId="0" applyNumberFormat="1" applyFont="1" applyFill="1" applyBorder="1" applyAlignment="1">
      <alignment horizontal="center" vertical="center"/>
    </xf>
    <xf numFmtId="58" fontId="4" fillId="5" borderId="1" xfId="0" applyNumberFormat="1" applyFont="1" applyFill="1" applyBorder="1" applyAlignment="1">
      <alignment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58" fontId="4" fillId="0" borderId="1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30C52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zoomScale="75" zoomScaleNormal="75" workbookViewId="0">
      <selection activeCell="D7" sqref="D7"/>
    </sheetView>
  </sheetViews>
  <sheetFormatPr defaultColWidth="9.02654867256637" defaultRowHeight="13" customHeight="1" outlineLevelRow="7" outlineLevelCol="3"/>
  <cols>
    <col min="1" max="1" width="9.02654867256637" style="31"/>
    <col min="2" max="2" width="20.5840707964602" style="31" customWidth="1"/>
    <col min="3" max="3" width="64.5221238938053" style="31" customWidth="1"/>
    <col min="4" max="4" width="42.0884955752212" style="31" customWidth="1"/>
    <col min="5" max="16384" width="9.02654867256637" style="31"/>
  </cols>
  <sheetData>
    <row r="1" s="34" customFormat="1" ht="40" customHeight="1" spans="1:4">
      <c r="A1" s="35" t="s">
        <v>0</v>
      </c>
      <c r="B1" s="35" t="s">
        <v>1</v>
      </c>
      <c r="C1" s="35" t="s">
        <v>2</v>
      </c>
      <c r="D1" s="35" t="s">
        <v>3</v>
      </c>
    </row>
    <row r="2" ht="40" customHeight="1" spans="1:4">
      <c r="A2" s="36">
        <v>1</v>
      </c>
      <c r="B2" s="37" t="s">
        <v>4</v>
      </c>
      <c r="C2" s="37" t="s">
        <v>5</v>
      </c>
      <c r="D2" s="37" t="s">
        <v>6</v>
      </c>
    </row>
    <row r="3" ht="40" customHeight="1" spans="1:4">
      <c r="A3" s="36">
        <v>2</v>
      </c>
      <c r="B3" s="37" t="s">
        <v>7</v>
      </c>
      <c r="C3" s="37" t="s">
        <v>8</v>
      </c>
      <c r="D3" s="37"/>
    </row>
    <row r="4" ht="40" customHeight="1" spans="1:4">
      <c r="A4" s="36">
        <v>3</v>
      </c>
      <c r="B4" s="37" t="s">
        <v>9</v>
      </c>
      <c r="C4" s="37" t="s">
        <v>10</v>
      </c>
      <c r="D4" s="37"/>
    </row>
    <row r="5" ht="71" customHeight="1" spans="1:4">
      <c r="A5" s="36">
        <v>4</v>
      </c>
      <c r="B5" s="37" t="s">
        <v>11</v>
      </c>
      <c r="C5" s="38" t="s">
        <v>12</v>
      </c>
      <c r="D5" s="38" t="s">
        <v>13</v>
      </c>
    </row>
    <row r="6" ht="60" customHeight="1" spans="1:4">
      <c r="A6" s="36">
        <v>5</v>
      </c>
      <c r="B6" s="37" t="s">
        <v>14</v>
      </c>
      <c r="C6" s="38" t="s">
        <v>15</v>
      </c>
      <c r="D6" s="37"/>
    </row>
    <row r="7" ht="40" customHeight="1" spans="1:4">
      <c r="A7" s="36">
        <v>6</v>
      </c>
      <c r="B7" s="37" t="s">
        <v>16</v>
      </c>
      <c r="C7" s="37" t="s">
        <v>17</v>
      </c>
      <c r="D7" s="37" t="s">
        <v>18</v>
      </c>
    </row>
    <row r="8" ht="40" customHeight="1" spans="1:4">
      <c r="A8" s="36"/>
      <c r="B8" s="37"/>
      <c r="C8" s="37"/>
      <c r="D8" s="3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1"/>
  <sheetViews>
    <sheetView zoomScale="79" zoomScaleNormal="79" workbookViewId="0">
      <selection activeCell="D1" sqref="D1"/>
    </sheetView>
  </sheetViews>
  <sheetFormatPr defaultColWidth="9" defaultRowHeight="13.5"/>
  <cols>
    <col min="1" max="1" width="9" style="31"/>
    <col min="2" max="4" width="14.3362831858407" style="4" customWidth="1"/>
    <col min="5" max="5" width="18.1327433628319" style="4" customWidth="1"/>
    <col min="6" max="6" width="24.0353982300885" style="4" customWidth="1"/>
    <col min="7" max="27" width="16.5398230088496" style="4"/>
    <col min="28" max="36" width="14.3451327433628" style="4"/>
    <col min="37" max="37" width="16.5398230088496" style="4"/>
    <col min="38" max="38" width="14.3451327433628" style="4"/>
    <col min="39" max="39" width="16.5398230088496" style="4"/>
    <col min="40" max="16384" width="9" style="4"/>
  </cols>
  <sheetData>
    <row r="1" s="30" customFormat="1" ht="30" customHeight="1" spans="1:39">
      <c r="A1" s="21" t="s">
        <v>0</v>
      </c>
      <c r="B1" s="32" t="s">
        <v>19</v>
      </c>
      <c r="C1" s="32" t="s">
        <v>20</v>
      </c>
      <c r="D1" s="32" t="s">
        <v>21</v>
      </c>
      <c r="E1" s="32" t="s">
        <v>22</v>
      </c>
      <c r="F1" s="32" t="s">
        <v>23</v>
      </c>
      <c r="G1" s="23">
        <v>46092</v>
      </c>
      <c r="H1" s="23">
        <v>46093</v>
      </c>
      <c r="I1" s="23">
        <v>46094</v>
      </c>
      <c r="J1" s="23">
        <v>46095</v>
      </c>
      <c r="K1" s="23">
        <v>46096</v>
      </c>
      <c r="L1" s="23">
        <v>46097</v>
      </c>
      <c r="M1" s="23">
        <v>46098</v>
      </c>
      <c r="N1" s="23">
        <v>46099</v>
      </c>
      <c r="O1" s="23">
        <v>46100</v>
      </c>
      <c r="P1" s="23">
        <v>46101</v>
      </c>
      <c r="Q1" s="23">
        <v>46102</v>
      </c>
      <c r="R1" s="23">
        <v>46103</v>
      </c>
      <c r="S1" s="23">
        <v>46104</v>
      </c>
      <c r="T1" s="23">
        <v>46105</v>
      </c>
      <c r="U1" s="23">
        <v>46106</v>
      </c>
      <c r="V1" s="23">
        <v>46107</v>
      </c>
      <c r="W1" s="23">
        <v>46108</v>
      </c>
      <c r="X1" s="23">
        <v>46109</v>
      </c>
      <c r="Y1" s="23">
        <v>46110</v>
      </c>
      <c r="Z1" s="23">
        <v>46111</v>
      </c>
      <c r="AA1" s="23">
        <v>46112</v>
      </c>
      <c r="AB1" s="23">
        <v>46113</v>
      </c>
      <c r="AC1" s="23">
        <v>46114</v>
      </c>
      <c r="AD1" s="23">
        <v>46115</v>
      </c>
      <c r="AE1" s="23">
        <v>46116</v>
      </c>
      <c r="AF1" s="23">
        <v>46117</v>
      </c>
      <c r="AG1" s="23">
        <v>46118</v>
      </c>
      <c r="AH1" s="23">
        <v>46119</v>
      </c>
      <c r="AI1" s="23">
        <v>46120</v>
      </c>
      <c r="AJ1" s="23">
        <v>46121</v>
      </c>
      <c r="AK1" s="23">
        <v>46122</v>
      </c>
      <c r="AL1" s="23" t="s">
        <v>24</v>
      </c>
      <c r="AM1" s="23" t="s">
        <v>25</v>
      </c>
    </row>
    <row r="2" ht="18" customHeight="1" spans="1:39">
      <c r="A2" s="33">
        <v>1</v>
      </c>
      <c r="B2" s="19" t="s">
        <v>26</v>
      </c>
      <c r="C2" s="19" t="s">
        <v>27</v>
      </c>
      <c r="D2" s="19" t="s">
        <v>28</v>
      </c>
      <c r="E2" s="19" t="s">
        <v>29</v>
      </c>
      <c r="F2" s="19">
        <v>200</v>
      </c>
      <c r="G2" s="19">
        <v>2</v>
      </c>
      <c r="H2" s="19"/>
      <c r="I2" s="19">
        <v>5</v>
      </c>
      <c r="J2" s="19"/>
      <c r="K2" s="19"/>
      <c r="L2" s="19">
        <v>11</v>
      </c>
      <c r="M2" s="19"/>
      <c r="N2" s="19"/>
      <c r="O2" s="19"/>
      <c r="P2" s="19"/>
      <c r="Q2" s="19">
        <v>100</v>
      </c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</row>
    <row r="3" ht="18" customHeight="1" spans="1:39">
      <c r="A3" s="33">
        <v>2</v>
      </c>
      <c r="B3" s="19" t="s">
        <v>26</v>
      </c>
      <c r="C3" s="19" t="s">
        <v>27</v>
      </c>
      <c r="D3" s="19" t="s">
        <v>30</v>
      </c>
      <c r="E3" s="19" t="s">
        <v>31</v>
      </c>
      <c r="F3" s="19">
        <v>5</v>
      </c>
      <c r="G3" s="19"/>
      <c r="H3" s="19"/>
      <c r="I3" s="19"/>
      <c r="J3" s="19"/>
      <c r="K3" s="19">
        <v>5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</row>
    <row r="4" ht="18" customHeight="1" spans="1:39">
      <c r="A4" s="33">
        <v>3</v>
      </c>
      <c r="B4" s="19" t="s">
        <v>26</v>
      </c>
      <c r="C4" s="19" t="s">
        <v>27</v>
      </c>
      <c r="D4" s="19" t="s">
        <v>32</v>
      </c>
      <c r="E4" s="19" t="s">
        <v>33</v>
      </c>
      <c r="F4" s="19">
        <v>1</v>
      </c>
      <c r="G4" s="19"/>
      <c r="H4" s="19"/>
      <c r="I4" s="19"/>
      <c r="J4" s="19"/>
      <c r="K4" s="19"/>
      <c r="L4" s="19">
        <v>1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</row>
    <row r="5" ht="18" customHeight="1" spans="1:39">
      <c r="A5" s="33">
        <v>4</v>
      </c>
      <c r="B5" s="19" t="s">
        <v>26</v>
      </c>
      <c r="C5" s="19" t="s">
        <v>27</v>
      </c>
      <c r="D5" s="19" t="s">
        <v>34</v>
      </c>
      <c r="E5" s="19" t="s">
        <v>35</v>
      </c>
      <c r="F5" s="19">
        <v>1</v>
      </c>
      <c r="G5" s="19"/>
      <c r="H5" s="19"/>
      <c r="I5" s="19"/>
      <c r="J5" s="19"/>
      <c r="K5" s="19">
        <v>1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</row>
    <row r="6" ht="18" customHeight="1" spans="1:39">
      <c r="A6" s="33">
        <v>5</v>
      </c>
      <c r="B6" s="19" t="s">
        <v>26</v>
      </c>
      <c r="C6" s="19" t="s">
        <v>27</v>
      </c>
      <c r="D6" s="19" t="s">
        <v>36</v>
      </c>
      <c r="E6" s="19" t="s">
        <v>37</v>
      </c>
      <c r="F6" s="19">
        <v>5</v>
      </c>
      <c r="G6" s="19"/>
      <c r="H6" s="19"/>
      <c r="I6" s="19"/>
      <c r="J6" s="19"/>
      <c r="K6" s="19"/>
      <c r="L6" s="19">
        <v>5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</row>
    <row r="7" ht="18" customHeight="1" spans="1:39">
      <c r="A7" s="33">
        <v>6</v>
      </c>
      <c r="B7" s="19" t="s">
        <v>26</v>
      </c>
      <c r="C7" s="19" t="s">
        <v>27</v>
      </c>
      <c r="D7" s="19" t="s">
        <v>38</v>
      </c>
      <c r="E7" s="19" t="s">
        <v>39</v>
      </c>
      <c r="F7" s="19">
        <v>10</v>
      </c>
      <c r="G7" s="19"/>
      <c r="H7" s="19"/>
      <c r="I7" s="19"/>
      <c r="J7" s="19"/>
      <c r="K7" s="19">
        <v>10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</row>
    <row r="8" ht="18" customHeight="1" spans="1:39">
      <c r="A8" s="33">
        <v>7</v>
      </c>
      <c r="B8" s="19" t="s">
        <v>26</v>
      </c>
      <c r="C8" s="19" t="s">
        <v>27</v>
      </c>
      <c r="D8" s="19" t="s">
        <v>40</v>
      </c>
      <c r="E8" s="19" t="s">
        <v>41</v>
      </c>
      <c r="F8" s="19">
        <v>1</v>
      </c>
      <c r="G8" s="19"/>
      <c r="H8" s="19"/>
      <c r="I8" s="19"/>
      <c r="J8" s="19"/>
      <c r="K8" s="19">
        <v>1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</row>
    <row r="9" ht="18" customHeight="1" spans="1:39">
      <c r="A9" s="33">
        <v>8</v>
      </c>
      <c r="B9" s="19" t="s">
        <v>26</v>
      </c>
      <c r="C9" s="19" t="s">
        <v>42</v>
      </c>
      <c r="D9" s="19" t="s">
        <v>43</v>
      </c>
      <c r="E9" s="19" t="s">
        <v>44</v>
      </c>
      <c r="F9" s="19">
        <v>30</v>
      </c>
      <c r="G9" s="19"/>
      <c r="H9" s="19"/>
      <c r="I9" s="19">
        <v>20</v>
      </c>
      <c r="J9" s="19"/>
      <c r="K9" s="19"/>
      <c r="L9" s="19">
        <v>30</v>
      </c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</row>
    <row r="10" ht="18" customHeight="1" spans="1:39">
      <c r="A10" s="33">
        <v>9</v>
      </c>
      <c r="B10" s="19" t="s">
        <v>26</v>
      </c>
      <c r="C10" s="19" t="s">
        <v>42</v>
      </c>
      <c r="D10" s="19" t="s">
        <v>45</v>
      </c>
      <c r="E10" s="19" t="s">
        <v>46</v>
      </c>
      <c r="F10" s="19">
        <v>2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</row>
    <row r="11" ht="18" customHeight="1" spans="1:39">
      <c r="A11" s="33">
        <v>10</v>
      </c>
      <c r="B11" s="19" t="s">
        <v>26</v>
      </c>
      <c r="C11" s="19" t="s">
        <v>42</v>
      </c>
      <c r="D11" s="19" t="s">
        <v>47</v>
      </c>
      <c r="E11" s="19" t="s">
        <v>48</v>
      </c>
      <c r="F11" s="19">
        <v>5</v>
      </c>
      <c r="G11" s="19"/>
      <c r="H11" s="19"/>
      <c r="I11" s="19">
        <v>5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7"/>
  <sheetViews>
    <sheetView workbookViewId="0">
      <selection activeCell="D8" sqref="D8"/>
    </sheetView>
  </sheetViews>
  <sheetFormatPr defaultColWidth="9" defaultRowHeight="13.5"/>
  <cols>
    <col min="1" max="1" width="17.5309734513274" style="4" customWidth="1"/>
    <col min="2" max="2" width="25.8938053097345" style="4" customWidth="1"/>
    <col min="3" max="4" width="22.9734513274336" style="4" customWidth="1"/>
    <col min="5" max="5" width="18.929203539823" style="4" customWidth="1"/>
    <col min="6" max="6" width="19.7256637168142" style="4" customWidth="1"/>
    <col min="7" max="7" width="16.8053097345133" style="4" customWidth="1"/>
    <col min="8" max="8" width="12.5486725663717" style="4" customWidth="1"/>
    <col min="9" max="9" width="20.7787610619469" style="4" customWidth="1"/>
    <col min="10" max="10" width="13.8761061946903" style="4" customWidth="1"/>
    <col min="11" max="16384" width="9" style="4"/>
  </cols>
  <sheetData>
    <row r="1" s="28" customFormat="1" ht="30" customHeight="1" spans="1:40">
      <c r="A1" s="21" t="s">
        <v>21</v>
      </c>
      <c r="B1" s="21" t="s">
        <v>49</v>
      </c>
      <c r="C1" s="21" t="s">
        <v>22</v>
      </c>
      <c r="D1" s="21" t="s">
        <v>50</v>
      </c>
      <c r="E1" s="21" t="s">
        <v>51</v>
      </c>
      <c r="F1" s="21" t="s">
        <v>52</v>
      </c>
      <c r="G1" s="21" t="s">
        <v>53</v>
      </c>
      <c r="H1" s="21" t="s">
        <v>54</v>
      </c>
      <c r="I1" s="21" t="s">
        <v>55</v>
      </c>
      <c r="J1" s="21" t="s">
        <v>56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</row>
    <row r="2" ht="18" customHeight="1" spans="1:40">
      <c r="A2" s="19" t="s">
        <v>28</v>
      </c>
      <c r="B2" s="19" t="s">
        <v>57</v>
      </c>
      <c r="C2" s="19"/>
      <c r="D2" s="19" t="s">
        <v>58</v>
      </c>
      <c r="E2" s="19" t="s">
        <v>59</v>
      </c>
      <c r="F2" s="19" t="s">
        <v>60</v>
      </c>
      <c r="G2" s="19" t="s">
        <v>61</v>
      </c>
      <c r="H2" s="19">
        <v>1</v>
      </c>
      <c r="I2" s="19" t="s">
        <v>62</v>
      </c>
      <c r="J2" s="19">
        <v>50</v>
      </c>
    </row>
    <row r="3" ht="18" customHeight="1" spans="1:40">
      <c r="A3" s="19" t="s">
        <v>28</v>
      </c>
      <c r="B3" s="19" t="s">
        <v>57</v>
      </c>
      <c r="C3" s="19"/>
      <c r="D3" s="19" t="s">
        <v>63</v>
      </c>
      <c r="E3" s="19" t="s">
        <v>64</v>
      </c>
      <c r="F3" s="19" t="s">
        <v>65</v>
      </c>
      <c r="G3" s="19" t="s">
        <v>61</v>
      </c>
      <c r="H3" s="19">
        <v>1</v>
      </c>
      <c r="I3" s="19" t="s">
        <v>66</v>
      </c>
      <c r="J3" s="19">
        <v>30</v>
      </c>
    </row>
    <row r="4" ht="18" customHeight="1" spans="1:40">
      <c r="A4" s="19" t="s">
        <v>28</v>
      </c>
      <c r="B4" s="19" t="s">
        <v>57</v>
      </c>
      <c r="C4" s="19"/>
      <c r="D4" s="19" t="s">
        <v>67</v>
      </c>
      <c r="E4" s="19" t="s">
        <v>68</v>
      </c>
      <c r="F4" s="19" t="s">
        <v>69</v>
      </c>
      <c r="G4" s="19" t="s">
        <v>61</v>
      </c>
      <c r="H4" s="19">
        <v>10</v>
      </c>
      <c r="I4" s="19" t="s">
        <v>66</v>
      </c>
      <c r="J4" s="19">
        <v>200</v>
      </c>
    </row>
    <row r="5" ht="18" customHeight="1" spans="1:40">
      <c r="A5" s="19" t="s">
        <v>28</v>
      </c>
      <c r="B5" s="19" t="s">
        <v>57</v>
      </c>
      <c r="C5" s="19"/>
      <c r="D5" s="19" t="s">
        <v>70</v>
      </c>
      <c r="E5" s="19" t="s">
        <v>71</v>
      </c>
      <c r="F5" s="19" t="s">
        <v>72</v>
      </c>
      <c r="G5" s="19" t="s">
        <v>73</v>
      </c>
      <c r="H5" s="19">
        <v>2.5</v>
      </c>
      <c r="I5" s="19" t="s">
        <v>74</v>
      </c>
      <c r="J5" s="19">
        <v>100</v>
      </c>
    </row>
    <row r="6" ht="18" customHeight="1" spans="1:40">
      <c r="A6" s="19" t="s">
        <v>30</v>
      </c>
      <c r="B6" s="19" t="s">
        <v>75</v>
      </c>
      <c r="C6" s="19"/>
      <c r="D6" s="19" t="s">
        <v>76</v>
      </c>
      <c r="E6" s="19" t="s">
        <v>59</v>
      </c>
      <c r="F6" s="19" t="s">
        <v>60</v>
      </c>
      <c r="G6" s="19" t="s">
        <v>61</v>
      </c>
      <c r="H6" s="19">
        <v>1</v>
      </c>
      <c r="I6" s="19" t="s">
        <v>66</v>
      </c>
      <c r="J6" s="19">
        <v>50</v>
      </c>
    </row>
    <row r="7" ht="18" customHeight="1" spans="1:40">
      <c r="A7" s="19" t="s">
        <v>30</v>
      </c>
      <c r="B7" s="19" t="s">
        <v>75</v>
      </c>
      <c r="C7" s="19"/>
      <c r="D7" s="19" t="s">
        <v>77</v>
      </c>
      <c r="E7" s="19" t="s">
        <v>64</v>
      </c>
      <c r="F7" s="19" t="s">
        <v>65</v>
      </c>
      <c r="G7" s="19" t="s">
        <v>61</v>
      </c>
      <c r="H7" s="19">
        <v>1</v>
      </c>
      <c r="I7" s="19" t="s">
        <v>74</v>
      </c>
      <c r="J7" s="19">
        <v>30</v>
      </c>
    </row>
    <row r="8" ht="18" customHeight="1" spans="1:40">
      <c r="A8" s="19" t="s">
        <v>30</v>
      </c>
      <c r="B8" s="19" t="s">
        <v>75</v>
      </c>
      <c r="C8" s="19"/>
      <c r="D8" s="19" t="s">
        <v>78</v>
      </c>
      <c r="E8" s="19" t="s">
        <v>68</v>
      </c>
      <c r="F8" s="19" t="s">
        <v>69</v>
      </c>
      <c r="G8" s="19" t="s">
        <v>61</v>
      </c>
      <c r="H8" s="19">
        <v>10</v>
      </c>
      <c r="I8" s="19" t="s">
        <v>79</v>
      </c>
      <c r="J8" s="19">
        <v>200</v>
      </c>
    </row>
    <row r="9" ht="18" customHeight="1" spans="1:40">
      <c r="A9" s="19" t="s">
        <v>30</v>
      </c>
      <c r="B9" s="19" t="s">
        <v>75</v>
      </c>
      <c r="C9" s="19"/>
      <c r="D9" s="19" t="s">
        <v>80</v>
      </c>
      <c r="E9" s="19" t="s">
        <v>71</v>
      </c>
      <c r="F9" s="19" t="s">
        <v>72</v>
      </c>
      <c r="G9" s="19" t="s">
        <v>73</v>
      </c>
      <c r="H9" s="19">
        <v>2.5</v>
      </c>
      <c r="I9" s="19" t="s">
        <v>81</v>
      </c>
      <c r="J9" s="19">
        <v>100</v>
      </c>
    </row>
    <row r="10" ht="18" customHeight="1" spans="1:40">
      <c r="A10" s="19" t="s">
        <v>32</v>
      </c>
      <c r="B10" s="19" t="s">
        <v>82</v>
      </c>
      <c r="C10" s="19"/>
      <c r="D10" s="19" t="s">
        <v>83</v>
      </c>
      <c r="E10" s="19" t="s">
        <v>59</v>
      </c>
      <c r="F10" s="19" t="s">
        <v>60</v>
      </c>
      <c r="G10" s="19" t="s">
        <v>61</v>
      </c>
      <c r="H10" s="19">
        <v>1</v>
      </c>
      <c r="I10" s="19" t="s">
        <v>62</v>
      </c>
      <c r="J10" s="19">
        <v>50</v>
      </c>
    </row>
    <row r="11" ht="18" customHeight="1" spans="1:40">
      <c r="A11" s="19" t="s">
        <v>32</v>
      </c>
      <c r="B11" s="19" t="s">
        <v>82</v>
      </c>
      <c r="C11" s="19"/>
      <c r="D11" s="19" t="s">
        <v>84</v>
      </c>
      <c r="E11" s="19" t="s">
        <v>64</v>
      </c>
      <c r="F11" s="19" t="s">
        <v>65</v>
      </c>
      <c r="G11" s="19" t="s">
        <v>61</v>
      </c>
      <c r="H11" s="19">
        <v>1</v>
      </c>
      <c r="I11" s="19" t="s">
        <v>74</v>
      </c>
      <c r="J11" s="19">
        <v>30</v>
      </c>
    </row>
    <row r="12" ht="18" customHeight="1" spans="1:40">
      <c r="A12" s="19" t="s">
        <v>32</v>
      </c>
      <c r="B12" s="19" t="s">
        <v>82</v>
      </c>
      <c r="C12" s="19"/>
      <c r="D12" s="19" t="s">
        <v>85</v>
      </c>
      <c r="E12" s="19" t="s">
        <v>68</v>
      </c>
      <c r="F12" s="19" t="s">
        <v>69</v>
      </c>
      <c r="G12" s="19" t="s">
        <v>61</v>
      </c>
      <c r="H12" s="19">
        <v>10</v>
      </c>
      <c r="I12" s="19" t="s">
        <v>62</v>
      </c>
      <c r="J12" s="19">
        <v>200</v>
      </c>
    </row>
    <row r="13" ht="18" customHeight="1" spans="1:40">
      <c r="A13" s="19" t="s">
        <v>32</v>
      </c>
      <c r="B13" s="19" t="s">
        <v>82</v>
      </c>
      <c r="C13" s="19"/>
      <c r="D13" s="19" t="s">
        <v>86</v>
      </c>
      <c r="E13" s="19" t="s">
        <v>71</v>
      </c>
      <c r="F13" s="19" t="s">
        <v>72</v>
      </c>
      <c r="G13" s="19" t="s">
        <v>73</v>
      </c>
      <c r="H13" s="19">
        <v>2.5</v>
      </c>
      <c r="I13" s="19" t="s">
        <v>74</v>
      </c>
      <c r="J13" s="19">
        <v>100</v>
      </c>
    </row>
    <row r="14" ht="18" customHeight="1" spans="1:40">
      <c r="A14" s="19" t="s">
        <v>34</v>
      </c>
      <c r="B14" s="19" t="s">
        <v>87</v>
      </c>
      <c r="C14" s="19"/>
      <c r="D14" s="19" t="s">
        <v>88</v>
      </c>
      <c r="E14" s="19" t="s">
        <v>59</v>
      </c>
      <c r="F14" s="19" t="s">
        <v>60</v>
      </c>
      <c r="G14" s="19" t="s">
        <v>61</v>
      </c>
      <c r="H14" s="19">
        <v>1</v>
      </c>
      <c r="I14" s="19" t="s">
        <v>66</v>
      </c>
      <c r="J14" s="19">
        <v>50</v>
      </c>
    </row>
    <row r="15" ht="18" customHeight="1" spans="1:40">
      <c r="A15" s="19" t="s">
        <v>34</v>
      </c>
      <c r="B15" s="19" t="s">
        <v>87</v>
      </c>
      <c r="C15" s="19"/>
      <c r="D15" s="19" t="s">
        <v>89</v>
      </c>
      <c r="E15" s="19" t="s">
        <v>64</v>
      </c>
      <c r="F15" s="19" t="s">
        <v>65</v>
      </c>
      <c r="G15" s="19" t="s">
        <v>61</v>
      </c>
      <c r="H15" s="19">
        <v>1</v>
      </c>
      <c r="I15" s="19" t="s">
        <v>79</v>
      </c>
      <c r="J15" s="19">
        <v>30</v>
      </c>
    </row>
    <row r="16" ht="18" customHeight="1" spans="1:40">
      <c r="A16" s="19" t="s">
        <v>34</v>
      </c>
      <c r="B16" s="19" t="s">
        <v>87</v>
      </c>
      <c r="C16" s="19"/>
      <c r="D16" s="19" t="s">
        <v>90</v>
      </c>
      <c r="E16" s="19" t="s">
        <v>68</v>
      </c>
      <c r="F16" s="19" t="s">
        <v>69</v>
      </c>
      <c r="G16" s="19" t="s">
        <v>61</v>
      </c>
      <c r="H16" s="19">
        <v>10</v>
      </c>
      <c r="I16" s="19" t="s">
        <v>74</v>
      </c>
      <c r="J16" s="19">
        <v>200</v>
      </c>
    </row>
    <row r="17" ht="18" customHeight="1" spans="1:10">
      <c r="A17" s="19" t="s">
        <v>36</v>
      </c>
      <c r="B17" s="19" t="s">
        <v>91</v>
      </c>
      <c r="C17" s="19"/>
      <c r="D17" s="19" t="s">
        <v>92</v>
      </c>
      <c r="E17" s="19" t="s">
        <v>59</v>
      </c>
      <c r="F17" s="19" t="s">
        <v>60</v>
      </c>
      <c r="G17" s="19" t="s">
        <v>61</v>
      </c>
      <c r="H17" s="19">
        <v>1</v>
      </c>
      <c r="I17" s="19" t="s">
        <v>74</v>
      </c>
      <c r="J17" s="19">
        <v>50</v>
      </c>
    </row>
    <row r="18" ht="18" customHeight="1" spans="1:10">
      <c r="A18" s="19" t="s">
        <v>36</v>
      </c>
      <c r="B18" s="19" t="s">
        <v>91</v>
      </c>
      <c r="C18" s="19"/>
      <c r="D18" s="19" t="s">
        <v>93</v>
      </c>
      <c r="E18" s="19" t="s">
        <v>64</v>
      </c>
      <c r="F18" s="19" t="s">
        <v>65</v>
      </c>
      <c r="G18" s="19" t="s">
        <v>61</v>
      </c>
      <c r="H18" s="19">
        <v>1</v>
      </c>
      <c r="I18" s="19" t="s">
        <v>81</v>
      </c>
      <c r="J18" s="19">
        <v>30</v>
      </c>
    </row>
    <row r="19" ht="18" customHeight="1" spans="1:10">
      <c r="A19" s="19" t="s">
        <v>36</v>
      </c>
      <c r="B19" s="19" t="s">
        <v>91</v>
      </c>
      <c r="C19" s="19"/>
      <c r="D19" s="19" t="s">
        <v>94</v>
      </c>
      <c r="E19" s="19" t="s">
        <v>68</v>
      </c>
      <c r="F19" s="19" t="s">
        <v>69</v>
      </c>
      <c r="G19" s="19" t="s">
        <v>61</v>
      </c>
      <c r="H19" s="19">
        <v>10</v>
      </c>
      <c r="I19" s="19" t="s">
        <v>74</v>
      </c>
      <c r="J19" s="19">
        <v>200</v>
      </c>
    </row>
    <row r="20" ht="18" customHeight="1" spans="1:10">
      <c r="A20" s="19" t="s">
        <v>38</v>
      </c>
      <c r="B20" s="19" t="s">
        <v>95</v>
      </c>
      <c r="C20" s="19"/>
      <c r="D20" s="19" t="s">
        <v>96</v>
      </c>
      <c r="E20" s="19" t="s">
        <v>59</v>
      </c>
      <c r="F20" s="19" t="s">
        <v>60</v>
      </c>
      <c r="G20" s="19" t="s">
        <v>61</v>
      </c>
      <c r="H20" s="19">
        <v>1</v>
      </c>
      <c r="I20" s="19" t="s">
        <v>74</v>
      </c>
      <c r="J20" s="19">
        <v>50</v>
      </c>
    </row>
    <row r="21" ht="18" customHeight="1" spans="1:10">
      <c r="A21" s="19" t="s">
        <v>38</v>
      </c>
      <c r="B21" s="19" t="s">
        <v>95</v>
      </c>
      <c r="C21" s="19"/>
      <c r="D21" s="19" t="s">
        <v>97</v>
      </c>
      <c r="E21" s="19" t="s">
        <v>64</v>
      </c>
      <c r="F21" s="19" t="s">
        <v>65</v>
      </c>
      <c r="G21" s="19" t="s">
        <v>61</v>
      </c>
      <c r="H21" s="19">
        <v>1</v>
      </c>
      <c r="I21" s="19" t="s">
        <v>79</v>
      </c>
      <c r="J21" s="19">
        <v>30</v>
      </c>
    </row>
    <row r="22" ht="18" customHeight="1" spans="1:10">
      <c r="A22" s="19" t="s">
        <v>38</v>
      </c>
      <c r="B22" s="19" t="s">
        <v>95</v>
      </c>
      <c r="C22" s="19"/>
      <c r="D22" s="19" t="s">
        <v>98</v>
      </c>
      <c r="E22" s="19" t="s">
        <v>68</v>
      </c>
      <c r="F22" s="19" t="s">
        <v>69</v>
      </c>
      <c r="G22" s="19" t="s">
        <v>61</v>
      </c>
      <c r="H22" s="19">
        <v>10</v>
      </c>
      <c r="I22" s="19" t="s">
        <v>62</v>
      </c>
      <c r="J22" s="19">
        <v>200</v>
      </c>
    </row>
    <row r="23" ht="18" customHeight="1" spans="1:10">
      <c r="A23" s="19" t="s">
        <v>40</v>
      </c>
      <c r="B23" s="19" t="s">
        <v>99</v>
      </c>
      <c r="C23" s="19"/>
      <c r="D23" s="19" t="s">
        <v>100</v>
      </c>
      <c r="E23" s="19" t="s">
        <v>59</v>
      </c>
      <c r="F23" s="19" t="s">
        <v>60</v>
      </c>
      <c r="G23" s="19" t="s">
        <v>61</v>
      </c>
      <c r="H23" s="19">
        <v>1</v>
      </c>
      <c r="I23" s="19" t="s">
        <v>62</v>
      </c>
      <c r="J23" s="19">
        <v>50</v>
      </c>
    </row>
    <row r="24" ht="18" customHeight="1" spans="1:10">
      <c r="A24" s="19" t="s">
        <v>40</v>
      </c>
      <c r="B24" s="19" t="s">
        <v>99</v>
      </c>
      <c r="C24" s="19"/>
      <c r="D24" s="19" t="s">
        <v>101</v>
      </c>
      <c r="E24" s="19" t="s">
        <v>64</v>
      </c>
      <c r="F24" s="19" t="s">
        <v>65</v>
      </c>
      <c r="G24" s="19" t="s">
        <v>61</v>
      </c>
      <c r="H24" s="19">
        <v>1</v>
      </c>
      <c r="I24" s="19" t="s">
        <v>79</v>
      </c>
      <c r="J24" s="19">
        <v>30</v>
      </c>
    </row>
    <row r="25" ht="18" customHeight="1" spans="1:10">
      <c r="A25" s="19" t="s">
        <v>40</v>
      </c>
      <c r="B25" s="19" t="s">
        <v>99</v>
      </c>
      <c r="C25" s="19"/>
      <c r="D25" s="19" t="s">
        <v>102</v>
      </c>
      <c r="E25" s="19" t="s">
        <v>68</v>
      </c>
      <c r="F25" s="19" t="s">
        <v>69</v>
      </c>
      <c r="G25" s="19" t="s">
        <v>61</v>
      </c>
      <c r="H25" s="19">
        <v>10</v>
      </c>
      <c r="I25" s="19" t="s">
        <v>79</v>
      </c>
      <c r="J25" s="19">
        <v>200</v>
      </c>
    </row>
    <row r="26" ht="18" customHeight="1" spans="1:10">
      <c r="A26" s="19" t="s">
        <v>40</v>
      </c>
      <c r="B26" s="19" t="s">
        <v>99</v>
      </c>
      <c r="C26" s="19"/>
      <c r="D26" s="19" t="s">
        <v>103</v>
      </c>
      <c r="E26" s="19" t="s">
        <v>71</v>
      </c>
      <c r="F26" s="19" t="s">
        <v>72</v>
      </c>
      <c r="G26" s="19" t="s">
        <v>73</v>
      </c>
      <c r="H26" s="19">
        <v>2.5</v>
      </c>
      <c r="I26" s="19" t="s">
        <v>74</v>
      </c>
      <c r="J26" s="19">
        <v>100</v>
      </c>
    </row>
    <row r="27" ht="18" customHeight="1" spans="1:10">
      <c r="A27" s="19" t="s">
        <v>40</v>
      </c>
      <c r="B27" s="19" t="s">
        <v>99</v>
      </c>
      <c r="C27" s="19"/>
      <c r="D27" s="19" t="s">
        <v>104</v>
      </c>
      <c r="E27" s="19" t="s">
        <v>105</v>
      </c>
      <c r="F27" s="19" t="s">
        <v>106</v>
      </c>
      <c r="G27" s="19" t="s">
        <v>61</v>
      </c>
      <c r="H27" s="19">
        <v>2</v>
      </c>
      <c r="I27" s="19" t="s">
        <v>66</v>
      </c>
      <c r="J27" s="19">
        <v>60</v>
      </c>
    </row>
    <row r="28" ht="18" customHeight="1" spans="1:10">
      <c r="A28" s="19" t="s">
        <v>43</v>
      </c>
      <c r="B28" s="19" t="s">
        <v>107</v>
      </c>
      <c r="C28" s="19"/>
      <c r="D28" s="19" t="s">
        <v>108</v>
      </c>
      <c r="E28" s="19" t="s">
        <v>109</v>
      </c>
      <c r="F28" s="19" t="s">
        <v>110</v>
      </c>
      <c r="G28" s="19" t="s">
        <v>61</v>
      </c>
      <c r="H28" s="19">
        <v>1</v>
      </c>
      <c r="I28" s="19" t="s">
        <v>79</v>
      </c>
      <c r="J28" s="19">
        <v>40</v>
      </c>
    </row>
    <row r="29" ht="18" customHeight="1" spans="1:10">
      <c r="A29" s="19" t="s">
        <v>43</v>
      </c>
      <c r="B29" s="19" t="s">
        <v>107</v>
      </c>
      <c r="C29" s="19"/>
      <c r="D29" s="19" t="s">
        <v>111</v>
      </c>
      <c r="E29" s="19" t="s">
        <v>112</v>
      </c>
      <c r="F29" s="19" t="s">
        <v>113</v>
      </c>
      <c r="G29" s="19" t="s">
        <v>61</v>
      </c>
      <c r="H29" s="19">
        <v>1</v>
      </c>
      <c r="I29" s="19" t="s">
        <v>62</v>
      </c>
      <c r="J29" s="19">
        <v>25</v>
      </c>
    </row>
    <row r="30" ht="18" customHeight="1" spans="1:10">
      <c r="A30" s="19" t="s">
        <v>43</v>
      </c>
      <c r="B30" s="19" t="s">
        <v>107</v>
      </c>
      <c r="C30" s="19"/>
      <c r="D30" s="19" t="s">
        <v>114</v>
      </c>
      <c r="E30" s="19" t="s">
        <v>115</v>
      </c>
      <c r="F30" s="19" t="s">
        <v>116</v>
      </c>
      <c r="G30" s="19" t="s">
        <v>61</v>
      </c>
      <c r="H30" s="19">
        <v>20</v>
      </c>
      <c r="I30" s="19" t="s">
        <v>66</v>
      </c>
      <c r="J30" s="19">
        <v>300</v>
      </c>
    </row>
    <row r="31" ht="18" customHeight="1" spans="1:10">
      <c r="A31" s="19" t="s">
        <v>45</v>
      </c>
      <c r="B31" s="19" t="s">
        <v>117</v>
      </c>
      <c r="C31" s="19"/>
      <c r="D31" s="19" t="s">
        <v>118</v>
      </c>
      <c r="E31" s="19" t="s">
        <v>109</v>
      </c>
      <c r="F31" s="19" t="s">
        <v>110</v>
      </c>
      <c r="G31" s="19" t="s">
        <v>61</v>
      </c>
      <c r="H31" s="19">
        <v>1</v>
      </c>
      <c r="I31" s="19" t="s">
        <v>62</v>
      </c>
      <c r="J31" s="19">
        <v>40</v>
      </c>
    </row>
    <row r="32" ht="18" customHeight="1" spans="1:10">
      <c r="A32" s="19" t="s">
        <v>45</v>
      </c>
      <c r="B32" s="19" t="s">
        <v>117</v>
      </c>
      <c r="C32" s="19"/>
      <c r="D32" s="19" t="s">
        <v>119</v>
      </c>
      <c r="E32" s="19" t="s">
        <v>112</v>
      </c>
      <c r="F32" s="19" t="s">
        <v>113</v>
      </c>
      <c r="G32" s="19" t="s">
        <v>61</v>
      </c>
      <c r="H32" s="19">
        <v>1</v>
      </c>
      <c r="I32" s="19" t="s">
        <v>79</v>
      </c>
      <c r="J32" s="19">
        <v>25</v>
      </c>
    </row>
    <row r="33" ht="18" customHeight="1" spans="1:10">
      <c r="A33" s="19" t="s">
        <v>45</v>
      </c>
      <c r="B33" s="19" t="s">
        <v>117</v>
      </c>
      <c r="C33" s="19"/>
      <c r="D33" s="19" t="s">
        <v>120</v>
      </c>
      <c r="E33" s="19" t="s">
        <v>115</v>
      </c>
      <c r="F33" s="19" t="s">
        <v>116</v>
      </c>
      <c r="G33" s="19" t="s">
        <v>61</v>
      </c>
      <c r="H33" s="19">
        <v>20</v>
      </c>
      <c r="I33" s="19" t="s">
        <v>79</v>
      </c>
      <c r="J33" s="19">
        <v>300</v>
      </c>
    </row>
    <row r="34" ht="18" customHeight="1" spans="1:10">
      <c r="A34" s="19" t="s">
        <v>45</v>
      </c>
      <c r="B34" s="19" t="s">
        <v>117</v>
      </c>
      <c r="C34" s="19"/>
      <c r="D34" s="19" t="s">
        <v>121</v>
      </c>
      <c r="E34" s="19" t="s">
        <v>122</v>
      </c>
      <c r="F34" s="19" t="s">
        <v>123</v>
      </c>
      <c r="G34" s="19" t="s">
        <v>61</v>
      </c>
      <c r="H34" s="19">
        <v>4</v>
      </c>
      <c r="I34" s="19" t="s">
        <v>79</v>
      </c>
      <c r="J34" s="19">
        <v>150</v>
      </c>
    </row>
    <row r="35" ht="18" customHeight="1" spans="1:10">
      <c r="A35" s="19" t="s">
        <v>47</v>
      </c>
      <c r="B35" s="19" t="s">
        <v>124</v>
      </c>
      <c r="C35" s="19"/>
      <c r="D35" s="19" t="s">
        <v>125</v>
      </c>
      <c r="E35" s="19" t="s">
        <v>109</v>
      </c>
      <c r="F35" s="19" t="s">
        <v>110</v>
      </c>
      <c r="G35" s="19" t="s">
        <v>61</v>
      </c>
      <c r="H35" s="19">
        <v>1</v>
      </c>
      <c r="I35" s="19" t="s">
        <v>66</v>
      </c>
      <c r="J35" s="19">
        <v>40</v>
      </c>
    </row>
    <row r="36" ht="18" customHeight="1" spans="1:10">
      <c r="A36" s="19" t="s">
        <v>47</v>
      </c>
      <c r="B36" s="19" t="s">
        <v>124</v>
      </c>
      <c r="C36" s="19"/>
      <c r="D36" s="19" t="s">
        <v>126</v>
      </c>
      <c r="E36" s="19" t="s">
        <v>112</v>
      </c>
      <c r="F36" s="19" t="s">
        <v>113</v>
      </c>
      <c r="G36" s="19" t="s">
        <v>61</v>
      </c>
      <c r="H36" s="19">
        <v>1</v>
      </c>
      <c r="I36" s="19" t="s">
        <v>81</v>
      </c>
      <c r="J36" s="19">
        <v>25</v>
      </c>
    </row>
    <row r="37" ht="18" customHeight="1" spans="1:10">
      <c r="A37" s="19" t="s">
        <v>47</v>
      </c>
      <c r="B37" s="19" t="s">
        <v>124</v>
      </c>
      <c r="C37" s="19"/>
      <c r="D37" s="19" t="s">
        <v>127</v>
      </c>
      <c r="E37" s="19" t="s">
        <v>115</v>
      </c>
      <c r="F37" s="19" t="s">
        <v>116</v>
      </c>
      <c r="G37" s="19" t="s">
        <v>61</v>
      </c>
      <c r="H37" s="19">
        <v>20</v>
      </c>
      <c r="I37" s="19" t="s">
        <v>74</v>
      </c>
      <c r="J37" s="19">
        <v>300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workbookViewId="0">
      <selection activeCell="D24" sqref="D24"/>
    </sheetView>
  </sheetViews>
  <sheetFormatPr defaultColWidth="9" defaultRowHeight="13.5" outlineLevelCol="7"/>
  <cols>
    <col min="1" max="1" width="20.2477876106195" style="4" customWidth="1"/>
    <col min="2" max="2" width="15.5398230088496" style="4" customWidth="1"/>
    <col min="3" max="3" width="18.4601769911504" style="4" customWidth="1"/>
    <col min="4" max="4" width="16.3362831858407" style="4" customWidth="1"/>
    <col min="5" max="6" width="18.9911504424779" style="4" customWidth="1"/>
    <col min="7" max="7" width="37.4424778761062" style="4" customWidth="1"/>
    <col min="8" max="8" width="13.8761061946903" style="4" customWidth="1"/>
    <col min="9" max="16384" width="9" style="4"/>
  </cols>
  <sheetData>
    <row r="1" ht="30" customHeight="1" spans="1:8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128</v>
      </c>
      <c r="F1" s="21" t="s">
        <v>129</v>
      </c>
      <c r="G1" s="21" t="s">
        <v>55</v>
      </c>
      <c r="H1" s="21" t="s">
        <v>56</v>
      </c>
    </row>
    <row r="2" ht="18" customHeight="1" spans="1:8">
      <c r="A2" s="19" t="s">
        <v>58</v>
      </c>
      <c r="B2" s="19" t="s">
        <v>59</v>
      </c>
      <c r="C2" s="19" t="s">
        <v>60</v>
      </c>
      <c r="D2" s="19" t="s">
        <v>61</v>
      </c>
      <c r="E2" s="19"/>
      <c r="F2" s="19">
        <v>13</v>
      </c>
      <c r="G2" s="19" t="s">
        <v>62</v>
      </c>
      <c r="H2" s="19">
        <v>50</v>
      </c>
    </row>
    <row r="3" ht="18" customHeight="1" spans="1:8">
      <c r="A3" s="19" t="s">
        <v>63</v>
      </c>
      <c r="B3" s="19" t="s">
        <v>64</v>
      </c>
      <c r="C3" s="19" t="s">
        <v>65</v>
      </c>
      <c r="D3" s="19" t="s">
        <v>61</v>
      </c>
      <c r="E3" s="19"/>
      <c r="F3" s="19">
        <v>41</v>
      </c>
      <c r="G3" s="19" t="s">
        <v>130</v>
      </c>
      <c r="H3" s="19">
        <v>30</v>
      </c>
    </row>
    <row r="4" ht="18" customHeight="1" spans="1:8">
      <c r="A4" s="19" t="s">
        <v>67</v>
      </c>
      <c r="B4" s="19" t="s">
        <v>68</v>
      </c>
      <c r="C4" s="19" t="s">
        <v>69</v>
      </c>
      <c r="D4" s="19" t="s">
        <v>61</v>
      </c>
      <c r="E4" s="19"/>
      <c r="F4" s="19">
        <v>102</v>
      </c>
      <c r="G4" s="19" t="s">
        <v>66</v>
      </c>
      <c r="H4" s="19">
        <v>200</v>
      </c>
    </row>
    <row r="5" ht="18" customHeight="1" spans="1:8">
      <c r="A5" s="19" t="s">
        <v>70</v>
      </c>
      <c r="B5" s="19" t="s">
        <v>71</v>
      </c>
      <c r="C5" s="19" t="s">
        <v>72</v>
      </c>
      <c r="D5" s="19" t="s">
        <v>73</v>
      </c>
      <c r="E5" s="19"/>
      <c r="F5" s="19">
        <v>50</v>
      </c>
      <c r="G5" s="19" t="s">
        <v>74</v>
      </c>
      <c r="H5" s="19">
        <v>100</v>
      </c>
    </row>
    <row r="6" ht="18" customHeight="1" spans="1:8">
      <c r="A6" s="19" t="s">
        <v>76</v>
      </c>
      <c r="B6" s="19" t="s">
        <v>59</v>
      </c>
      <c r="C6" s="19" t="s">
        <v>60</v>
      </c>
      <c r="D6" s="19" t="s">
        <v>61</v>
      </c>
      <c r="E6" s="19"/>
      <c r="F6" s="19">
        <v>25</v>
      </c>
      <c r="G6" s="19" t="s">
        <v>66</v>
      </c>
      <c r="H6" s="19">
        <v>50</v>
      </c>
    </row>
    <row r="7" ht="18" customHeight="1" spans="1:8">
      <c r="A7" s="19" t="s">
        <v>77</v>
      </c>
      <c r="B7" s="19" t="s">
        <v>64</v>
      </c>
      <c r="C7" s="19" t="s">
        <v>65</v>
      </c>
      <c r="D7" s="19" t="s">
        <v>61</v>
      </c>
      <c r="E7" s="19"/>
      <c r="F7" s="19">
        <v>22</v>
      </c>
      <c r="G7" s="19" t="s">
        <v>74</v>
      </c>
      <c r="H7" s="19">
        <v>30</v>
      </c>
    </row>
    <row r="8" ht="18" customHeight="1" spans="1:8">
      <c r="A8" s="19" t="s">
        <v>78</v>
      </c>
      <c r="B8" s="19" t="s">
        <v>68</v>
      </c>
      <c r="C8" s="19" t="s">
        <v>69</v>
      </c>
      <c r="D8" s="19" t="s">
        <v>61</v>
      </c>
      <c r="E8" s="19"/>
      <c r="F8" s="19">
        <v>173</v>
      </c>
      <c r="G8" s="19" t="s">
        <v>79</v>
      </c>
      <c r="H8" s="19">
        <v>200</v>
      </c>
    </row>
    <row r="9" ht="18" customHeight="1" spans="1:8">
      <c r="A9" s="19" t="s">
        <v>80</v>
      </c>
      <c r="B9" s="19" t="s">
        <v>71</v>
      </c>
      <c r="C9" s="19" t="s">
        <v>72</v>
      </c>
      <c r="D9" s="19" t="s">
        <v>73</v>
      </c>
      <c r="E9" s="19"/>
      <c r="F9" s="19">
        <v>141</v>
      </c>
      <c r="G9" s="19" t="s">
        <v>81</v>
      </c>
      <c r="H9" s="19">
        <v>100</v>
      </c>
    </row>
    <row r="10" ht="18" customHeight="1" spans="1:8">
      <c r="A10" s="19" t="s">
        <v>83</v>
      </c>
      <c r="B10" s="19" t="s">
        <v>59</v>
      </c>
      <c r="C10" s="19" t="s">
        <v>60</v>
      </c>
      <c r="D10" s="19" t="s">
        <v>61</v>
      </c>
      <c r="E10" s="19"/>
      <c r="F10" s="19">
        <v>13</v>
      </c>
      <c r="G10" s="19" t="s">
        <v>62</v>
      </c>
      <c r="H10" s="19">
        <v>50</v>
      </c>
    </row>
    <row r="11" ht="18" customHeight="1" spans="1:8">
      <c r="A11" s="19" t="s">
        <v>84</v>
      </c>
      <c r="B11" s="19" t="s">
        <v>64</v>
      </c>
      <c r="C11" s="19" t="s">
        <v>65</v>
      </c>
      <c r="D11" s="19" t="s">
        <v>61</v>
      </c>
      <c r="E11" s="19"/>
      <c r="F11" s="19">
        <v>25</v>
      </c>
      <c r="G11" s="19" t="s">
        <v>74</v>
      </c>
      <c r="H11" s="19">
        <v>30</v>
      </c>
    </row>
    <row r="12" ht="18" customHeight="1" spans="1:8">
      <c r="A12" s="19" t="s">
        <v>85</v>
      </c>
      <c r="B12" s="19" t="s">
        <v>68</v>
      </c>
      <c r="C12" s="19" t="s">
        <v>69</v>
      </c>
      <c r="D12" s="19" t="s">
        <v>61</v>
      </c>
      <c r="E12" s="19"/>
      <c r="F12" s="19">
        <v>182</v>
      </c>
      <c r="G12" s="19" t="s">
        <v>62</v>
      </c>
      <c r="H12" s="19">
        <v>200</v>
      </c>
    </row>
    <row r="13" ht="18" customHeight="1" spans="1:8">
      <c r="A13" s="19" t="s">
        <v>86</v>
      </c>
      <c r="B13" s="19" t="s">
        <v>71</v>
      </c>
      <c r="C13" s="19" t="s">
        <v>72</v>
      </c>
      <c r="D13" s="19" t="s">
        <v>73</v>
      </c>
      <c r="E13" s="19"/>
      <c r="F13" s="19">
        <v>119</v>
      </c>
      <c r="G13" s="19" t="s">
        <v>74</v>
      </c>
      <c r="H13" s="19">
        <v>100</v>
      </c>
    </row>
    <row r="14" ht="18" customHeight="1" spans="1:8">
      <c r="A14" s="19" t="s">
        <v>88</v>
      </c>
      <c r="B14" s="19" t="s">
        <v>59</v>
      </c>
      <c r="C14" s="19" t="s">
        <v>60</v>
      </c>
      <c r="D14" s="19" t="s">
        <v>61</v>
      </c>
      <c r="E14" s="19"/>
      <c r="F14" s="19">
        <v>40</v>
      </c>
      <c r="G14" s="19" t="s">
        <v>66</v>
      </c>
      <c r="H14" s="19">
        <v>50</v>
      </c>
    </row>
    <row r="15" ht="18" customHeight="1" spans="1:8">
      <c r="A15" s="19" t="s">
        <v>89</v>
      </c>
      <c r="B15" s="19" t="s">
        <v>64</v>
      </c>
      <c r="C15" s="19" t="s">
        <v>65</v>
      </c>
      <c r="D15" s="19" t="s">
        <v>61</v>
      </c>
      <c r="E15" s="19"/>
      <c r="F15" s="19">
        <v>15</v>
      </c>
      <c r="G15" s="19" t="s">
        <v>79</v>
      </c>
      <c r="H15" s="19">
        <v>30</v>
      </c>
    </row>
    <row r="16" ht="18" customHeight="1" spans="1:8">
      <c r="A16" s="19" t="s">
        <v>90</v>
      </c>
      <c r="B16" s="19" t="s">
        <v>68</v>
      </c>
      <c r="C16" s="19" t="s">
        <v>69</v>
      </c>
      <c r="D16" s="19" t="s">
        <v>61</v>
      </c>
      <c r="E16" s="19"/>
      <c r="F16" s="19">
        <v>196</v>
      </c>
      <c r="G16" s="19" t="s">
        <v>74</v>
      </c>
      <c r="H16" s="19">
        <v>200</v>
      </c>
    </row>
    <row r="17" ht="18" customHeight="1" spans="1:8">
      <c r="A17" s="19" t="s">
        <v>92</v>
      </c>
      <c r="B17" s="19" t="s">
        <v>59</v>
      </c>
      <c r="C17" s="19" t="s">
        <v>60</v>
      </c>
      <c r="D17" s="19" t="s">
        <v>61</v>
      </c>
      <c r="E17" s="19"/>
      <c r="F17" s="19">
        <v>25</v>
      </c>
      <c r="G17" s="19" t="s">
        <v>74</v>
      </c>
      <c r="H17" s="19">
        <v>50</v>
      </c>
    </row>
    <row r="18" ht="18" customHeight="1" spans="1:8">
      <c r="A18" s="19" t="s">
        <v>93</v>
      </c>
      <c r="B18" s="19" t="s">
        <v>64</v>
      </c>
      <c r="C18" s="19" t="s">
        <v>65</v>
      </c>
      <c r="D18" s="19" t="s">
        <v>61</v>
      </c>
      <c r="E18" s="19"/>
      <c r="F18" s="19">
        <v>44</v>
      </c>
      <c r="G18" s="19" t="s">
        <v>81</v>
      </c>
      <c r="H18" s="19">
        <v>30</v>
      </c>
    </row>
    <row r="19" ht="18" customHeight="1" spans="1:8">
      <c r="A19" s="19" t="s">
        <v>94</v>
      </c>
      <c r="B19" s="19" t="s">
        <v>68</v>
      </c>
      <c r="C19" s="19" t="s">
        <v>69</v>
      </c>
      <c r="D19" s="19" t="s">
        <v>61</v>
      </c>
      <c r="E19" s="19"/>
      <c r="F19" s="19">
        <v>78</v>
      </c>
      <c r="G19" s="19" t="s">
        <v>74</v>
      </c>
      <c r="H19" s="19">
        <v>200</v>
      </c>
    </row>
    <row r="20" ht="18" customHeight="1" spans="1:8">
      <c r="A20" s="19" t="s">
        <v>96</v>
      </c>
      <c r="B20" s="19" t="s">
        <v>59</v>
      </c>
      <c r="C20" s="19" t="s">
        <v>60</v>
      </c>
      <c r="D20" s="19" t="s">
        <v>61</v>
      </c>
      <c r="E20" s="19"/>
      <c r="F20" s="19">
        <v>26</v>
      </c>
      <c r="G20" s="19" t="s">
        <v>74</v>
      </c>
      <c r="H20" s="19">
        <v>50</v>
      </c>
    </row>
    <row r="21" ht="18" customHeight="1" spans="1:8">
      <c r="A21" s="19" t="s">
        <v>97</v>
      </c>
      <c r="B21" s="19" t="s">
        <v>64</v>
      </c>
      <c r="C21" s="19" t="s">
        <v>65</v>
      </c>
      <c r="D21" s="19" t="s">
        <v>61</v>
      </c>
      <c r="E21" s="19"/>
      <c r="F21" s="19">
        <v>11</v>
      </c>
      <c r="G21" s="19" t="s">
        <v>79</v>
      </c>
      <c r="H21" s="19">
        <v>30</v>
      </c>
    </row>
    <row r="22" ht="18" customHeight="1" spans="1:8">
      <c r="A22" s="19" t="s">
        <v>98</v>
      </c>
      <c r="B22" s="19" t="s">
        <v>68</v>
      </c>
      <c r="C22" s="19" t="s">
        <v>69</v>
      </c>
      <c r="D22" s="19" t="s">
        <v>61</v>
      </c>
      <c r="E22" s="19"/>
      <c r="F22" s="19">
        <v>100</v>
      </c>
      <c r="G22" s="19" t="s">
        <v>62</v>
      </c>
      <c r="H22" s="19">
        <v>200</v>
      </c>
    </row>
    <row r="23" ht="18" customHeight="1" spans="1:8">
      <c r="A23" s="19" t="s">
        <v>100</v>
      </c>
      <c r="B23" s="19" t="s">
        <v>59</v>
      </c>
      <c r="C23" s="19" t="s">
        <v>60</v>
      </c>
      <c r="D23" s="19" t="s">
        <v>61</v>
      </c>
      <c r="E23" s="19"/>
      <c r="F23" s="19">
        <v>12</v>
      </c>
      <c r="G23" s="19" t="s">
        <v>62</v>
      </c>
      <c r="H23" s="19">
        <v>50</v>
      </c>
    </row>
    <row r="24" ht="18" customHeight="1" spans="1:8">
      <c r="A24" s="19" t="s">
        <v>101</v>
      </c>
      <c r="B24" s="19" t="s">
        <v>64</v>
      </c>
      <c r="C24" s="19" t="s">
        <v>65</v>
      </c>
      <c r="D24" s="19" t="s">
        <v>61</v>
      </c>
      <c r="E24" s="19"/>
      <c r="F24" s="19">
        <v>35</v>
      </c>
      <c r="G24" s="19" t="s">
        <v>79</v>
      </c>
      <c r="H24" s="19">
        <v>30</v>
      </c>
    </row>
    <row r="25" ht="18" customHeight="1" spans="1:8">
      <c r="A25" s="19" t="s">
        <v>102</v>
      </c>
      <c r="B25" s="19" t="s">
        <v>68</v>
      </c>
      <c r="C25" s="19" t="s">
        <v>69</v>
      </c>
      <c r="D25" s="19" t="s">
        <v>61</v>
      </c>
      <c r="E25" s="19"/>
      <c r="F25" s="19">
        <v>100</v>
      </c>
      <c r="G25" s="19" t="s">
        <v>79</v>
      </c>
      <c r="H25" s="19">
        <v>200</v>
      </c>
    </row>
    <row r="26" ht="18" customHeight="1" spans="1:8">
      <c r="A26" s="19" t="s">
        <v>103</v>
      </c>
      <c r="B26" s="19" t="s">
        <v>71</v>
      </c>
      <c r="C26" s="19" t="s">
        <v>72</v>
      </c>
      <c r="D26" s="19" t="s">
        <v>73</v>
      </c>
      <c r="E26" s="19"/>
      <c r="F26" s="19">
        <v>50</v>
      </c>
      <c r="G26" s="19" t="s">
        <v>74</v>
      </c>
      <c r="H26" s="19">
        <v>100</v>
      </c>
    </row>
    <row r="27" ht="18" customHeight="1" spans="1:8">
      <c r="A27" s="19" t="s">
        <v>104</v>
      </c>
      <c r="B27" s="19" t="s">
        <v>105</v>
      </c>
      <c r="C27" s="19" t="s">
        <v>106</v>
      </c>
      <c r="D27" s="19" t="s">
        <v>61</v>
      </c>
      <c r="E27" s="19"/>
      <c r="F27" s="19">
        <v>48</v>
      </c>
      <c r="G27" s="19" t="s">
        <v>66</v>
      </c>
      <c r="H27" s="19">
        <v>60</v>
      </c>
    </row>
    <row r="28" ht="18" customHeight="1" spans="1:8">
      <c r="A28" s="19" t="s">
        <v>108</v>
      </c>
      <c r="B28" s="19" t="s">
        <v>109</v>
      </c>
      <c r="C28" s="19" t="s">
        <v>110</v>
      </c>
      <c r="D28" s="19" t="s">
        <v>61</v>
      </c>
      <c r="E28" s="19"/>
      <c r="F28" s="19">
        <v>20</v>
      </c>
      <c r="G28" s="19" t="s">
        <v>79</v>
      </c>
      <c r="H28" s="19">
        <v>40</v>
      </c>
    </row>
    <row r="29" ht="18" customHeight="1" spans="1:8">
      <c r="A29" s="19" t="s">
        <v>111</v>
      </c>
      <c r="B29" s="19" t="s">
        <v>112</v>
      </c>
      <c r="C29" s="19" t="s">
        <v>113</v>
      </c>
      <c r="D29" s="19" t="s">
        <v>61</v>
      </c>
      <c r="E29" s="19"/>
      <c r="F29" s="19">
        <v>25</v>
      </c>
      <c r="G29" s="19" t="s">
        <v>62</v>
      </c>
      <c r="H29" s="19">
        <v>25</v>
      </c>
    </row>
    <row r="30" ht="18" customHeight="1" spans="1:8">
      <c r="A30" s="19" t="s">
        <v>114</v>
      </c>
      <c r="B30" s="19" t="s">
        <v>115</v>
      </c>
      <c r="C30" s="19" t="s">
        <v>116</v>
      </c>
      <c r="D30" s="19" t="s">
        <v>61</v>
      </c>
      <c r="E30" s="19"/>
      <c r="F30" s="19">
        <v>330</v>
      </c>
      <c r="G30" s="19" t="s">
        <v>66</v>
      </c>
      <c r="H30" s="19">
        <v>300</v>
      </c>
    </row>
    <row r="31" ht="18" customHeight="1" spans="1:8">
      <c r="A31" s="19" t="s">
        <v>118</v>
      </c>
      <c r="B31" s="19" t="s">
        <v>109</v>
      </c>
      <c r="C31" s="19" t="s">
        <v>110</v>
      </c>
      <c r="D31" s="19" t="s">
        <v>61</v>
      </c>
      <c r="E31" s="19"/>
      <c r="F31" s="19">
        <v>42</v>
      </c>
      <c r="G31" s="19" t="s">
        <v>62</v>
      </c>
      <c r="H31" s="19">
        <v>40</v>
      </c>
    </row>
    <row r="32" ht="18" customHeight="1" spans="1:8">
      <c r="A32" s="19" t="s">
        <v>119</v>
      </c>
      <c r="B32" s="19" t="s">
        <v>112</v>
      </c>
      <c r="C32" s="19" t="s">
        <v>113</v>
      </c>
      <c r="D32" s="19" t="s">
        <v>61</v>
      </c>
      <c r="E32" s="19"/>
      <c r="F32" s="19">
        <v>6</v>
      </c>
      <c r="G32" s="19" t="s">
        <v>79</v>
      </c>
      <c r="H32" s="19">
        <v>25</v>
      </c>
    </row>
    <row r="33" ht="18" customHeight="1" spans="1:8">
      <c r="A33" s="19" t="s">
        <v>120</v>
      </c>
      <c r="B33" s="19" t="s">
        <v>115</v>
      </c>
      <c r="C33" s="19" t="s">
        <v>116</v>
      </c>
      <c r="D33" s="19" t="s">
        <v>61</v>
      </c>
      <c r="E33" s="19"/>
      <c r="F33" s="19">
        <v>150</v>
      </c>
      <c r="G33" s="19" t="s">
        <v>79</v>
      </c>
      <c r="H33" s="19">
        <v>300</v>
      </c>
    </row>
    <row r="34" ht="18" customHeight="1" spans="1:8">
      <c r="A34" s="19" t="s">
        <v>121</v>
      </c>
      <c r="B34" s="19" t="s">
        <v>122</v>
      </c>
      <c r="C34" s="19" t="s">
        <v>123</v>
      </c>
      <c r="D34" s="19" t="s">
        <v>61</v>
      </c>
      <c r="E34" s="19"/>
      <c r="F34" s="19">
        <v>75</v>
      </c>
      <c r="G34" s="19" t="s">
        <v>79</v>
      </c>
      <c r="H34" s="19">
        <v>150</v>
      </c>
    </row>
    <row r="35" ht="18" customHeight="1" spans="1:8">
      <c r="A35" s="19" t="s">
        <v>125</v>
      </c>
      <c r="B35" s="19" t="s">
        <v>109</v>
      </c>
      <c r="C35" s="19" t="s">
        <v>110</v>
      </c>
      <c r="D35" s="19" t="s">
        <v>61</v>
      </c>
      <c r="E35" s="19"/>
      <c r="F35" s="19">
        <v>20</v>
      </c>
      <c r="G35" s="19" t="s">
        <v>66</v>
      </c>
      <c r="H35" s="19">
        <v>40</v>
      </c>
    </row>
    <row r="36" ht="18" customHeight="1" spans="1:8">
      <c r="A36" s="19" t="s">
        <v>126</v>
      </c>
      <c r="B36" s="19" t="s">
        <v>112</v>
      </c>
      <c r="C36" s="19" t="s">
        <v>113</v>
      </c>
      <c r="D36" s="19" t="s">
        <v>61</v>
      </c>
      <c r="E36" s="19"/>
      <c r="F36" s="19">
        <v>19</v>
      </c>
      <c r="G36" s="19" t="s">
        <v>81</v>
      </c>
      <c r="H36" s="19">
        <v>25</v>
      </c>
    </row>
    <row r="37" ht="18" customHeight="1" spans="1:8">
      <c r="A37" s="19" t="s">
        <v>127</v>
      </c>
      <c r="B37" s="19" t="s">
        <v>115</v>
      </c>
      <c r="C37" s="19" t="s">
        <v>116</v>
      </c>
      <c r="D37" s="19" t="s">
        <v>61</v>
      </c>
      <c r="E37" s="19"/>
      <c r="F37" s="19">
        <v>186</v>
      </c>
      <c r="G37" s="19" t="s">
        <v>74</v>
      </c>
      <c r="H37" s="19">
        <v>300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9"/>
  <sheetViews>
    <sheetView zoomScale="36" zoomScaleNormal="36" workbookViewId="0">
      <selection activeCell="A2" sqref="A2:B15"/>
    </sheetView>
  </sheetViews>
  <sheetFormatPr defaultColWidth="9" defaultRowHeight="13.5"/>
  <cols>
    <col min="1" max="1" width="19.3805309734513" style="4" customWidth="1"/>
    <col min="2" max="2" width="20.1858407079646" style="4" customWidth="1"/>
    <col min="3" max="3" width="19.3805309734513" style="4" customWidth="1"/>
    <col min="4" max="4" width="20.1858407079646" style="4" customWidth="1"/>
    <col min="5" max="5" width="16.929203539823" style="4" customWidth="1"/>
    <col min="6" max="6" width="19.3893805309735" style="4" customWidth="1"/>
    <col min="7" max="7" width="19.1238938053097" style="4" customWidth="1"/>
    <col min="8" max="8" width="18.3274336283186" customWidth="1"/>
    <col min="9" max="9" width="18.1238938053097" style="4" customWidth="1"/>
    <col min="10" max="10" width="16.7345132743363" style="4" customWidth="1"/>
    <col min="11" max="45" width="11.4247787610619" style="4" customWidth="1"/>
    <col min="46" max="16384" width="9" style="4"/>
  </cols>
  <sheetData>
    <row r="1" s="4" customFormat="1" ht="30" customHeight="1" spans="1:45">
      <c r="A1" s="21" t="s">
        <v>21</v>
      </c>
      <c r="B1" s="21" t="s">
        <v>49</v>
      </c>
      <c r="C1" s="21" t="s">
        <v>50</v>
      </c>
      <c r="D1" s="21" t="s">
        <v>51</v>
      </c>
      <c r="E1" s="21" t="s">
        <v>52</v>
      </c>
      <c r="F1" s="21" t="s">
        <v>53</v>
      </c>
      <c r="G1" s="21" t="s">
        <v>55</v>
      </c>
      <c r="H1" s="21" t="s">
        <v>129</v>
      </c>
      <c r="I1" s="21" t="s">
        <v>56</v>
      </c>
      <c r="J1" s="22" t="s">
        <v>131</v>
      </c>
      <c r="K1" s="23">
        <v>46092</v>
      </c>
      <c r="L1" s="23">
        <v>46093</v>
      </c>
      <c r="M1" s="23">
        <v>46094</v>
      </c>
      <c r="N1" s="23">
        <v>46095</v>
      </c>
      <c r="O1" s="23">
        <v>46096</v>
      </c>
      <c r="P1" s="23">
        <v>46097</v>
      </c>
      <c r="Q1" s="23">
        <v>46098</v>
      </c>
      <c r="R1" s="23">
        <v>46099</v>
      </c>
      <c r="S1" s="23">
        <v>46100</v>
      </c>
      <c r="T1" s="23">
        <v>46101</v>
      </c>
      <c r="U1" s="23">
        <v>46102</v>
      </c>
      <c r="V1" s="23">
        <v>46103</v>
      </c>
      <c r="W1" s="23">
        <v>46104</v>
      </c>
      <c r="X1" s="23">
        <v>46105</v>
      </c>
      <c r="Y1" s="23">
        <v>46106</v>
      </c>
      <c r="Z1" s="23">
        <v>46107</v>
      </c>
      <c r="AA1" s="23">
        <v>46108</v>
      </c>
      <c r="AB1" s="23">
        <v>46109</v>
      </c>
      <c r="AC1" s="23">
        <v>46110</v>
      </c>
      <c r="AD1" s="23">
        <v>46111</v>
      </c>
      <c r="AE1" s="23">
        <v>46112</v>
      </c>
      <c r="AF1" s="23">
        <v>46113</v>
      </c>
      <c r="AG1" s="23">
        <v>46114</v>
      </c>
      <c r="AH1" s="23">
        <v>46115</v>
      </c>
      <c r="AI1" s="23">
        <v>46116</v>
      </c>
      <c r="AJ1" s="23">
        <v>46117</v>
      </c>
      <c r="AK1" s="23">
        <v>46118</v>
      </c>
      <c r="AL1" s="23">
        <v>46119</v>
      </c>
      <c r="AM1" s="23">
        <v>46120</v>
      </c>
      <c r="AN1" s="23">
        <v>46121</v>
      </c>
      <c r="AO1" s="23">
        <v>46122</v>
      </c>
      <c r="AP1" s="23">
        <v>46121</v>
      </c>
      <c r="AQ1" s="23">
        <v>46122</v>
      </c>
      <c r="AR1" s="23" t="s">
        <v>24</v>
      </c>
      <c r="AS1" s="23" t="s">
        <v>25</v>
      </c>
    </row>
    <row r="2" s="4" customFormat="1" ht="18" customHeight="1" spans="1:45">
      <c r="A2" s="25" t="s">
        <v>28</v>
      </c>
      <c r="B2" s="25"/>
      <c r="C2" s="19" t="s">
        <v>132</v>
      </c>
      <c r="D2" s="19" t="s">
        <v>133</v>
      </c>
      <c r="E2" s="19" t="s">
        <v>134</v>
      </c>
      <c r="F2" s="19" t="s">
        <v>61</v>
      </c>
      <c r="G2" s="19" t="s">
        <v>135</v>
      </c>
      <c r="H2" s="24">
        <v>8</v>
      </c>
      <c r="I2" s="19">
        <v>38</v>
      </c>
      <c r="J2" s="19">
        <v>13</v>
      </c>
      <c r="K2" s="19"/>
      <c r="L2" s="19"/>
      <c r="M2" s="19"/>
      <c r="N2" s="19"/>
      <c r="O2" s="19"/>
      <c r="P2" s="19"/>
      <c r="Q2" s="19"/>
      <c r="R2" s="19"/>
      <c r="S2" s="19"/>
      <c r="T2" s="19">
        <v>13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</row>
    <row r="3" s="4" customFormat="1" ht="18" customHeight="1" spans="1:45">
      <c r="A3" s="26"/>
      <c r="B3" s="26"/>
      <c r="C3" s="19" t="s">
        <v>136</v>
      </c>
      <c r="D3" s="19" t="s">
        <v>71</v>
      </c>
      <c r="E3" s="19" t="s">
        <v>137</v>
      </c>
      <c r="F3" s="19" t="s">
        <v>73</v>
      </c>
      <c r="G3" s="19" t="s">
        <v>138</v>
      </c>
      <c r="H3" s="24">
        <v>116</v>
      </c>
      <c r="I3" s="19">
        <v>85</v>
      </c>
      <c r="J3" s="19">
        <v>45.5</v>
      </c>
      <c r="K3" s="19"/>
      <c r="L3" s="19"/>
      <c r="M3" s="19"/>
      <c r="N3" s="19"/>
      <c r="O3" s="19"/>
      <c r="P3" s="19"/>
      <c r="Q3" s="19"/>
      <c r="R3" s="19"/>
      <c r="S3" s="19"/>
      <c r="T3" s="19">
        <v>45.5</v>
      </c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</row>
    <row r="4" s="4" customFormat="1" ht="18" customHeight="1" spans="1:45">
      <c r="A4" s="26"/>
      <c r="B4" s="26"/>
      <c r="C4" s="19" t="s">
        <v>139</v>
      </c>
      <c r="D4" s="19" t="s">
        <v>140</v>
      </c>
      <c r="E4" s="19" t="s">
        <v>141</v>
      </c>
      <c r="F4" s="19" t="s">
        <v>61</v>
      </c>
      <c r="G4" s="19" t="s">
        <v>142</v>
      </c>
      <c r="H4" s="24">
        <v>59</v>
      </c>
      <c r="I4" s="19">
        <v>40</v>
      </c>
      <c r="J4" s="19">
        <v>13</v>
      </c>
      <c r="K4" s="19"/>
      <c r="L4" s="19"/>
      <c r="M4" s="19"/>
      <c r="N4" s="19"/>
      <c r="O4" s="19"/>
      <c r="P4" s="19"/>
      <c r="Q4" s="19"/>
      <c r="R4" s="19"/>
      <c r="S4" s="19"/>
      <c r="T4" s="19">
        <v>13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</row>
    <row r="5" s="4" customFormat="1" ht="18" customHeight="1" spans="1:45">
      <c r="A5" s="26"/>
      <c r="B5" s="26"/>
      <c r="C5" s="19" t="s">
        <v>143</v>
      </c>
      <c r="D5" s="19" t="s">
        <v>144</v>
      </c>
      <c r="E5" s="19" t="s">
        <v>145</v>
      </c>
      <c r="F5" s="19" t="s">
        <v>61</v>
      </c>
      <c r="G5" s="19" t="s">
        <v>142</v>
      </c>
      <c r="H5" s="24">
        <v>51</v>
      </c>
      <c r="I5" s="19">
        <v>52</v>
      </c>
      <c r="J5" s="19">
        <v>13</v>
      </c>
      <c r="K5" s="19"/>
      <c r="L5" s="19"/>
      <c r="M5" s="19"/>
      <c r="N5" s="19"/>
      <c r="O5" s="19"/>
      <c r="P5" s="19"/>
      <c r="Q5" s="19"/>
      <c r="R5" s="19"/>
      <c r="S5" s="19"/>
      <c r="T5" s="19">
        <v>13</v>
      </c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</row>
    <row r="6" s="4" customFormat="1" ht="18" customHeight="1" spans="1:45">
      <c r="A6" s="26"/>
      <c r="B6" s="26"/>
      <c r="C6" s="19" t="s">
        <v>146</v>
      </c>
      <c r="D6" s="19" t="s">
        <v>147</v>
      </c>
      <c r="E6" s="19" t="s">
        <v>148</v>
      </c>
      <c r="F6" s="19" t="s">
        <v>61</v>
      </c>
      <c r="G6" s="19" t="s">
        <v>149</v>
      </c>
      <c r="H6" s="24">
        <v>30</v>
      </c>
      <c r="I6" s="19">
        <v>31</v>
      </c>
      <c r="J6" s="19">
        <v>13</v>
      </c>
      <c r="K6" s="19"/>
      <c r="L6" s="19"/>
      <c r="M6" s="19"/>
      <c r="N6" s="19"/>
      <c r="O6" s="19"/>
      <c r="P6" s="19"/>
      <c r="Q6" s="19"/>
      <c r="R6" s="19"/>
      <c r="S6" s="19"/>
      <c r="T6" s="19">
        <v>13</v>
      </c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</row>
    <row r="7" s="4" customFormat="1" ht="18" customHeight="1" spans="1:45">
      <c r="A7" s="26"/>
      <c r="B7" s="26"/>
      <c r="C7" s="19" t="s">
        <v>150</v>
      </c>
      <c r="D7" s="19" t="s">
        <v>151</v>
      </c>
      <c r="E7" s="19" t="s">
        <v>152</v>
      </c>
      <c r="F7" s="19" t="s">
        <v>61</v>
      </c>
      <c r="G7" s="19" t="s">
        <v>81</v>
      </c>
      <c r="H7" s="24">
        <v>80</v>
      </c>
      <c r="I7" s="19">
        <v>55</v>
      </c>
      <c r="J7" s="19">
        <v>52</v>
      </c>
      <c r="K7" s="19"/>
      <c r="L7" s="19"/>
      <c r="M7" s="19"/>
      <c r="N7" s="19"/>
      <c r="O7" s="19"/>
      <c r="P7" s="19"/>
      <c r="Q7" s="19"/>
      <c r="R7" s="19"/>
      <c r="S7" s="19"/>
      <c r="T7" s="19">
        <v>52</v>
      </c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</row>
    <row r="8" s="4" customFormat="1" ht="18" customHeight="1" spans="1:45">
      <c r="A8" s="26"/>
      <c r="B8" s="26"/>
      <c r="C8" s="19" t="s">
        <v>153</v>
      </c>
      <c r="D8" s="19" t="s">
        <v>133</v>
      </c>
      <c r="E8" s="19" t="s">
        <v>134</v>
      </c>
      <c r="F8" s="19" t="s">
        <v>61</v>
      </c>
      <c r="G8" s="19" t="s">
        <v>135</v>
      </c>
      <c r="H8" s="24">
        <v>43</v>
      </c>
      <c r="I8" s="19">
        <v>43</v>
      </c>
      <c r="J8" s="19">
        <v>27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>
        <v>27</v>
      </c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</row>
    <row r="9" s="4" customFormat="1" ht="18" customHeight="1" spans="1:45">
      <c r="A9" s="26"/>
      <c r="B9" s="26"/>
      <c r="C9" s="19" t="s">
        <v>154</v>
      </c>
      <c r="D9" s="19" t="s">
        <v>71</v>
      </c>
      <c r="E9" s="19" t="s">
        <v>137</v>
      </c>
      <c r="F9" s="19" t="s">
        <v>73</v>
      </c>
      <c r="G9" s="19" t="s">
        <v>138</v>
      </c>
      <c r="H9" s="24">
        <v>37</v>
      </c>
      <c r="I9" s="19">
        <v>76</v>
      </c>
      <c r="J9" s="19">
        <v>94.5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>
        <v>94.5</v>
      </c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</row>
    <row r="10" s="4" customFormat="1" ht="18" customHeight="1" spans="1:45">
      <c r="A10" s="26"/>
      <c r="B10" s="26"/>
      <c r="C10" s="19" t="s">
        <v>155</v>
      </c>
      <c r="D10" s="19" t="s">
        <v>140</v>
      </c>
      <c r="E10" s="19" t="s">
        <v>141</v>
      </c>
      <c r="F10" s="19" t="s">
        <v>61</v>
      </c>
      <c r="G10" s="19" t="s">
        <v>142</v>
      </c>
      <c r="H10" s="24">
        <v>25</v>
      </c>
      <c r="I10" s="19">
        <v>61</v>
      </c>
      <c r="J10" s="19">
        <v>27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>
        <v>27</v>
      </c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</row>
    <row r="11" s="4" customFormat="1" ht="18" customHeight="1" spans="1:45">
      <c r="A11" s="26"/>
      <c r="B11" s="26"/>
      <c r="C11" s="19" t="s">
        <v>156</v>
      </c>
      <c r="D11" s="19" t="s">
        <v>144</v>
      </c>
      <c r="E11" s="19" t="s">
        <v>145</v>
      </c>
      <c r="F11" s="19" t="s">
        <v>61</v>
      </c>
      <c r="G11" s="19" t="s">
        <v>142</v>
      </c>
      <c r="H11" s="24">
        <v>97</v>
      </c>
      <c r="I11" s="19">
        <v>68</v>
      </c>
      <c r="J11" s="19">
        <v>27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>
        <v>27</v>
      </c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</row>
    <row r="12" s="4" customFormat="1" ht="18" customHeight="1" spans="1:45">
      <c r="A12" s="26"/>
      <c r="B12" s="26"/>
      <c r="C12" s="19" t="s">
        <v>157</v>
      </c>
      <c r="D12" s="19" t="s">
        <v>147</v>
      </c>
      <c r="E12" s="19" t="s">
        <v>148</v>
      </c>
      <c r="F12" s="19" t="s">
        <v>61</v>
      </c>
      <c r="G12" s="19" t="s">
        <v>149</v>
      </c>
      <c r="H12" s="24">
        <v>33</v>
      </c>
      <c r="I12" s="19">
        <v>32</v>
      </c>
      <c r="J12" s="19">
        <v>27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>
        <v>27</v>
      </c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</row>
    <row r="13" s="4" customFormat="1" ht="18" customHeight="1" spans="1:45">
      <c r="A13" s="26"/>
      <c r="B13" s="26"/>
      <c r="C13" s="19" t="s">
        <v>158</v>
      </c>
      <c r="D13" s="19" t="s">
        <v>151</v>
      </c>
      <c r="E13" s="19" t="s">
        <v>152</v>
      </c>
      <c r="F13" s="19" t="s">
        <v>61</v>
      </c>
      <c r="G13" s="19" t="s">
        <v>81</v>
      </c>
      <c r="H13" s="24">
        <v>23</v>
      </c>
      <c r="I13" s="19">
        <v>48</v>
      </c>
      <c r="J13" s="19">
        <v>108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>
        <v>108</v>
      </c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</row>
    <row r="14" s="4" customFormat="1" ht="18" customHeight="1" spans="1:45">
      <c r="A14" s="26"/>
      <c r="B14" s="26"/>
      <c r="C14" s="19" t="s">
        <v>159</v>
      </c>
      <c r="D14" s="19" t="s">
        <v>133</v>
      </c>
      <c r="E14" s="19" t="s">
        <v>134</v>
      </c>
      <c r="F14" s="19" t="s">
        <v>61</v>
      </c>
      <c r="G14" s="19" t="s">
        <v>135</v>
      </c>
      <c r="H14" s="24">
        <v>53</v>
      </c>
      <c r="I14" s="19">
        <v>40</v>
      </c>
      <c r="J14" s="19">
        <v>17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>
        <v>17</v>
      </c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</row>
    <row r="15" s="4" customFormat="1" ht="18" customHeight="1" spans="1:45">
      <c r="A15" s="27"/>
      <c r="B15" s="27"/>
      <c r="C15" s="19" t="s">
        <v>160</v>
      </c>
      <c r="D15" s="19" t="s">
        <v>71</v>
      </c>
      <c r="E15" s="19" t="s">
        <v>137</v>
      </c>
      <c r="F15" s="19" t="s">
        <v>73</v>
      </c>
      <c r="G15" s="19" t="s">
        <v>138</v>
      </c>
      <c r="H15" s="24">
        <v>101</v>
      </c>
      <c r="I15" s="19">
        <v>92</v>
      </c>
      <c r="J15" s="19">
        <v>59.5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>
        <v>59.5</v>
      </c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</row>
    <row r="16" s="4" customFormat="1" ht="18" customHeight="1" spans="1:45">
      <c r="A16" s="25" t="s">
        <v>36</v>
      </c>
      <c r="B16" s="25"/>
      <c r="C16" s="19" t="s">
        <v>161</v>
      </c>
      <c r="D16" s="19" t="s">
        <v>140</v>
      </c>
      <c r="E16" s="19" t="s">
        <v>141</v>
      </c>
      <c r="F16" s="19" t="s">
        <v>61</v>
      </c>
      <c r="G16" s="19" t="s">
        <v>142</v>
      </c>
      <c r="H16" s="24">
        <v>91</v>
      </c>
      <c r="I16" s="19">
        <v>70</v>
      </c>
      <c r="J16" s="19">
        <v>17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>
        <v>17</v>
      </c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</row>
    <row r="17" s="4" customFormat="1" ht="18" customHeight="1" spans="1:45">
      <c r="A17" s="26"/>
      <c r="B17" s="26"/>
      <c r="C17" s="19" t="s">
        <v>162</v>
      </c>
      <c r="D17" s="19" t="s">
        <v>144</v>
      </c>
      <c r="E17" s="19" t="s">
        <v>145</v>
      </c>
      <c r="F17" s="19" t="s">
        <v>61</v>
      </c>
      <c r="G17" s="19" t="s">
        <v>142</v>
      </c>
      <c r="H17" s="24">
        <v>51</v>
      </c>
      <c r="I17" s="19">
        <v>58</v>
      </c>
      <c r="J17" s="19">
        <v>17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>
        <v>17</v>
      </c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</row>
    <row r="18" s="4" customFormat="1" ht="18" customHeight="1" spans="1:45">
      <c r="A18" s="26"/>
      <c r="B18" s="26"/>
      <c r="C18" s="19" t="s">
        <v>163</v>
      </c>
      <c r="D18" s="19" t="s">
        <v>147</v>
      </c>
      <c r="E18" s="19" t="s">
        <v>148</v>
      </c>
      <c r="F18" s="19" t="s">
        <v>61</v>
      </c>
      <c r="G18" s="19" t="s">
        <v>149</v>
      </c>
      <c r="H18" s="24">
        <v>13</v>
      </c>
      <c r="I18" s="19">
        <v>35</v>
      </c>
      <c r="J18" s="19">
        <v>17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>
        <v>17</v>
      </c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</row>
    <row r="19" s="4" customFormat="1" ht="18" customHeight="1" spans="1:45">
      <c r="A19" s="26"/>
      <c r="B19" s="26"/>
      <c r="C19" s="19" t="s">
        <v>164</v>
      </c>
      <c r="D19" s="19" t="s">
        <v>151</v>
      </c>
      <c r="E19" s="19" t="s">
        <v>152</v>
      </c>
      <c r="F19" s="19" t="s">
        <v>61</v>
      </c>
      <c r="G19" s="19" t="s">
        <v>81</v>
      </c>
      <c r="H19" s="24">
        <v>38</v>
      </c>
      <c r="I19" s="19">
        <v>47</v>
      </c>
      <c r="J19" s="19">
        <v>68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>
        <v>68</v>
      </c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="4" customFormat="1" ht="18" customHeight="1" spans="1:45">
      <c r="A20" s="26"/>
      <c r="B20" s="26"/>
      <c r="C20" s="19" t="s">
        <v>165</v>
      </c>
      <c r="D20" s="19" t="s">
        <v>133</v>
      </c>
      <c r="E20" s="19" t="s">
        <v>134</v>
      </c>
      <c r="F20" s="19" t="s">
        <v>61</v>
      </c>
      <c r="G20" s="19" t="s">
        <v>135</v>
      </c>
      <c r="H20" s="24">
        <v>17</v>
      </c>
      <c r="I20" s="19">
        <v>37</v>
      </c>
      <c r="J20" s="19">
        <v>16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>
        <v>16</v>
      </c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="4" customFormat="1" ht="18" customHeight="1" spans="1:45">
      <c r="A21" s="26"/>
      <c r="B21" s="26"/>
      <c r="C21" s="19" t="s">
        <v>166</v>
      </c>
      <c r="D21" s="19" t="s">
        <v>71</v>
      </c>
      <c r="E21" s="19" t="s">
        <v>137</v>
      </c>
      <c r="F21" s="19" t="s">
        <v>73</v>
      </c>
      <c r="G21" s="19" t="s">
        <v>138</v>
      </c>
      <c r="H21" s="24">
        <v>39</v>
      </c>
      <c r="I21" s="19">
        <v>93</v>
      </c>
      <c r="J21" s="19">
        <v>56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>
        <v>56</v>
      </c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</row>
    <row r="22" s="4" customFormat="1" ht="18" customHeight="1" spans="1:45">
      <c r="A22" s="26"/>
      <c r="B22" s="26"/>
      <c r="C22" s="19" t="s">
        <v>167</v>
      </c>
      <c r="D22" s="19" t="s">
        <v>140</v>
      </c>
      <c r="E22" s="19" t="s">
        <v>141</v>
      </c>
      <c r="F22" s="19" t="s">
        <v>61</v>
      </c>
      <c r="G22" s="19" t="s">
        <v>142</v>
      </c>
      <c r="H22" s="24">
        <v>34</v>
      </c>
      <c r="I22" s="19">
        <v>73</v>
      </c>
      <c r="J22" s="19">
        <v>16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>
        <v>16</v>
      </c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</row>
    <row r="23" s="4" customFormat="1" ht="18" customHeight="1" spans="1:45">
      <c r="A23" s="26"/>
      <c r="B23" s="26"/>
      <c r="C23" s="19" t="s">
        <v>168</v>
      </c>
      <c r="D23" s="19" t="s">
        <v>144</v>
      </c>
      <c r="E23" s="19" t="s">
        <v>145</v>
      </c>
      <c r="F23" s="19" t="s">
        <v>61</v>
      </c>
      <c r="G23" s="19" t="s">
        <v>142</v>
      </c>
      <c r="H23" s="24">
        <v>71</v>
      </c>
      <c r="I23" s="19">
        <v>54</v>
      </c>
      <c r="J23" s="19">
        <v>16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>
        <v>16</v>
      </c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</row>
    <row r="24" s="4" customFormat="1" ht="18" customHeight="1" spans="1:45">
      <c r="A24" s="26"/>
      <c r="B24" s="26"/>
      <c r="C24" s="19" t="s">
        <v>169</v>
      </c>
      <c r="D24" s="19" t="s">
        <v>147</v>
      </c>
      <c r="E24" s="19" t="s">
        <v>148</v>
      </c>
      <c r="F24" s="19" t="s">
        <v>61</v>
      </c>
      <c r="G24" s="19" t="s">
        <v>149</v>
      </c>
      <c r="H24" s="24">
        <v>23</v>
      </c>
      <c r="I24" s="19">
        <v>27</v>
      </c>
      <c r="J24" s="19">
        <v>16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>
        <v>16</v>
      </c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</row>
    <row r="25" s="4" customFormat="1" ht="18" customHeight="1" spans="1:45">
      <c r="A25" s="26"/>
      <c r="B25" s="26"/>
      <c r="C25" s="19" t="s">
        <v>170</v>
      </c>
      <c r="D25" s="19" t="s">
        <v>151</v>
      </c>
      <c r="E25" s="19" t="s">
        <v>152</v>
      </c>
      <c r="F25" s="19" t="s">
        <v>61</v>
      </c>
      <c r="G25" s="19" t="s">
        <v>81</v>
      </c>
      <c r="H25" s="24">
        <v>88</v>
      </c>
      <c r="I25" s="19">
        <v>69</v>
      </c>
      <c r="J25" s="19">
        <v>64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>
        <v>64</v>
      </c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</row>
    <row r="26" s="4" customFormat="1" ht="18" customHeight="1" spans="1:45">
      <c r="A26" s="27"/>
      <c r="B26" s="27"/>
      <c r="C26" s="19" t="s">
        <v>171</v>
      </c>
      <c r="D26" s="19" t="s">
        <v>133</v>
      </c>
      <c r="E26" s="19" t="s">
        <v>134</v>
      </c>
      <c r="F26" s="19" t="s">
        <v>61</v>
      </c>
      <c r="G26" s="19" t="s">
        <v>135</v>
      </c>
      <c r="H26" s="24">
        <v>25</v>
      </c>
      <c r="I26" s="19">
        <v>48</v>
      </c>
      <c r="J26" s="19">
        <v>31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>
        <v>31</v>
      </c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</row>
    <row r="27" s="4" customFormat="1" ht="18" customHeight="1" spans="1:45">
      <c r="A27" s="25" t="s">
        <v>38</v>
      </c>
      <c r="B27" s="25"/>
      <c r="C27" s="19" t="s">
        <v>172</v>
      </c>
      <c r="D27" s="19" t="s">
        <v>71</v>
      </c>
      <c r="E27" s="19" t="s">
        <v>137</v>
      </c>
      <c r="F27" s="19" t="s">
        <v>73</v>
      </c>
      <c r="G27" s="19" t="s">
        <v>138</v>
      </c>
      <c r="H27" s="24">
        <v>39</v>
      </c>
      <c r="I27" s="19">
        <v>94</v>
      </c>
      <c r="J27" s="19">
        <v>108.5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>
        <v>108.5</v>
      </c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</row>
    <row r="28" s="4" customFormat="1" ht="18" customHeight="1" spans="1:45">
      <c r="A28" s="26"/>
      <c r="B28" s="26"/>
      <c r="C28" s="19" t="s">
        <v>173</v>
      </c>
      <c r="D28" s="19" t="s">
        <v>140</v>
      </c>
      <c r="E28" s="19" t="s">
        <v>141</v>
      </c>
      <c r="F28" s="19" t="s">
        <v>61</v>
      </c>
      <c r="G28" s="19" t="s">
        <v>142</v>
      </c>
      <c r="H28" s="24">
        <v>75</v>
      </c>
      <c r="I28" s="19">
        <v>57</v>
      </c>
      <c r="J28" s="19">
        <v>31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>
        <v>31</v>
      </c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="4" customFormat="1" ht="18" customHeight="1" spans="1:45">
      <c r="A29" s="26"/>
      <c r="B29" s="26"/>
      <c r="C29" s="19" t="s">
        <v>174</v>
      </c>
      <c r="D29" s="19" t="s">
        <v>144</v>
      </c>
      <c r="E29" s="19" t="s">
        <v>145</v>
      </c>
      <c r="F29" s="19" t="s">
        <v>61</v>
      </c>
      <c r="G29" s="19" t="s">
        <v>142</v>
      </c>
      <c r="H29" s="24">
        <v>22</v>
      </c>
      <c r="I29" s="19">
        <v>69</v>
      </c>
      <c r="J29" s="19">
        <v>31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>
        <v>31</v>
      </c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</row>
    <row r="30" s="4" customFormat="1" ht="18" customHeight="1" spans="1:45">
      <c r="A30" s="26"/>
      <c r="B30" s="26"/>
      <c r="C30" s="19" t="s">
        <v>175</v>
      </c>
      <c r="D30" s="19" t="s">
        <v>147</v>
      </c>
      <c r="E30" s="19" t="s">
        <v>148</v>
      </c>
      <c r="F30" s="19" t="s">
        <v>61</v>
      </c>
      <c r="G30" s="19" t="s">
        <v>149</v>
      </c>
      <c r="H30" s="24">
        <v>36</v>
      </c>
      <c r="I30" s="19">
        <v>33</v>
      </c>
      <c r="J30" s="19">
        <v>31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>
        <v>31</v>
      </c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</row>
    <row r="31" s="4" customFormat="1" ht="18" customHeight="1" spans="1:45">
      <c r="A31" s="26"/>
      <c r="B31" s="26"/>
      <c r="C31" s="19" t="s">
        <v>176</v>
      </c>
      <c r="D31" s="19" t="s">
        <v>151</v>
      </c>
      <c r="E31" s="19" t="s">
        <v>152</v>
      </c>
      <c r="F31" s="19" t="s">
        <v>61</v>
      </c>
      <c r="G31" s="19" t="s">
        <v>81</v>
      </c>
      <c r="H31" s="24">
        <v>76</v>
      </c>
      <c r="I31" s="19">
        <v>56</v>
      </c>
      <c r="J31" s="19">
        <v>124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>
        <v>124</v>
      </c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</row>
    <row r="32" s="4" customFormat="1" ht="18" customHeight="1" spans="1:45">
      <c r="A32" s="26"/>
      <c r="B32" s="26"/>
      <c r="C32" s="19" t="s">
        <v>177</v>
      </c>
      <c r="D32" s="19" t="s">
        <v>133</v>
      </c>
      <c r="E32" s="19" t="s">
        <v>134</v>
      </c>
      <c r="F32" s="19" t="s">
        <v>61</v>
      </c>
      <c r="G32" s="19" t="s">
        <v>135</v>
      </c>
      <c r="H32" s="24">
        <v>10</v>
      </c>
      <c r="I32" s="19">
        <v>32</v>
      </c>
      <c r="J32" s="19">
        <v>22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>
        <v>22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</row>
    <row r="33" s="4" customFormat="1" ht="18" customHeight="1" spans="1:45">
      <c r="A33" s="26"/>
      <c r="B33" s="26"/>
      <c r="C33" s="19" t="s">
        <v>178</v>
      </c>
      <c r="D33" s="19" t="s">
        <v>71</v>
      </c>
      <c r="E33" s="19" t="s">
        <v>137</v>
      </c>
      <c r="F33" s="19" t="s">
        <v>73</v>
      </c>
      <c r="G33" s="19" t="s">
        <v>138</v>
      </c>
      <c r="H33" s="24">
        <v>109</v>
      </c>
      <c r="I33" s="19">
        <v>87</v>
      </c>
      <c r="J33" s="19">
        <v>77</v>
      </c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>
        <v>77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</row>
    <row r="34" s="4" customFormat="1" ht="18" customHeight="1" spans="1:45">
      <c r="A34" s="26"/>
      <c r="B34" s="26"/>
      <c r="C34" s="19" t="s">
        <v>179</v>
      </c>
      <c r="D34" s="19" t="s">
        <v>140</v>
      </c>
      <c r="E34" s="19" t="s">
        <v>141</v>
      </c>
      <c r="F34" s="19" t="s">
        <v>61</v>
      </c>
      <c r="G34" s="19" t="s">
        <v>142</v>
      </c>
      <c r="H34" s="24">
        <v>56</v>
      </c>
      <c r="I34" s="19">
        <v>49</v>
      </c>
      <c r="J34" s="19">
        <v>22</v>
      </c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>
        <v>22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</row>
    <row r="35" s="4" customFormat="1" ht="18" customHeight="1" spans="1:45">
      <c r="A35" s="26"/>
      <c r="B35" s="26"/>
      <c r="C35" s="19" t="s">
        <v>180</v>
      </c>
      <c r="D35" s="19" t="s">
        <v>144</v>
      </c>
      <c r="E35" s="19" t="s">
        <v>145</v>
      </c>
      <c r="F35" s="19" t="s">
        <v>61</v>
      </c>
      <c r="G35" s="19" t="s">
        <v>142</v>
      </c>
      <c r="H35" s="24">
        <v>22</v>
      </c>
      <c r="I35" s="19">
        <v>40</v>
      </c>
      <c r="J35" s="19">
        <v>22</v>
      </c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>
        <v>22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</row>
    <row r="36" s="4" customFormat="1" ht="18" customHeight="1" spans="1:45">
      <c r="A36" s="26"/>
      <c r="B36" s="26"/>
      <c r="C36" s="19" t="s">
        <v>181</v>
      </c>
      <c r="D36" s="19" t="s">
        <v>147</v>
      </c>
      <c r="E36" s="19" t="s">
        <v>148</v>
      </c>
      <c r="F36" s="19" t="s">
        <v>61</v>
      </c>
      <c r="G36" s="19" t="s">
        <v>149</v>
      </c>
      <c r="H36" s="24">
        <v>44</v>
      </c>
      <c r="I36" s="19">
        <v>33</v>
      </c>
      <c r="J36" s="19">
        <v>22</v>
      </c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>
        <v>22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</row>
    <row r="37" s="4" customFormat="1" ht="18" customHeight="1" spans="1:45">
      <c r="A37" s="26"/>
      <c r="B37" s="26"/>
      <c r="C37" s="19" t="s">
        <v>182</v>
      </c>
      <c r="D37" s="19" t="s">
        <v>151</v>
      </c>
      <c r="E37" s="19" t="s">
        <v>152</v>
      </c>
      <c r="F37" s="19" t="s">
        <v>61</v>
      </c>
      <c r="G37" s="19" t="s">
        <v>81</v>
      </c>
      <c r="H37" s="24">
        <v>56</v>
      </c>
      <c r="I37" s="19">
        <v>40</v>
      </c>
      <c r="J37" s="19">
        <v>88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>
        <v>88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</row>
    <row r="38" s="4" customFormat="1" ht="18" customHeight="1" spans="1:45">
      <c r="A38" s="26"/>
      <c r="B38" s="26"/>
      <c r="C38" s="19" t="s">
        <v>183</v>
      </c>
      <c r="D38" s="19" t="s">
        <v>133</v>
      </c>
      <c r="E38" s="19" t="s">
        <v>134</v>
      </c>
      <c r="F38" s="19" t="s">
        <v>61</v>
      </c>
      <c r="G38" s="19" t="s">
        <v>135</v>
      </c>
      <c r="H38" s="24">
        <v>55</v>
      </c>
      <c r="I38" s="19">
        <v>46</v>
      </c>
      <c r="J38" s="19">
        <v>19</v>
      </c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>
        <v>19</v>
      </c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</row>
    <row r="39" s="4" customFormat="1" ht="18" customHeight="1" spans="1:45">
      <c r="A39" s="26"/>
      <c r="B39" s="26"/>
      <c r="C39" s="19" t="s">
        <v>184</v>
      </c>
      <c r="D39" s="19" t="s">
        <v>71</v>
      </c>
      <c r="E39" s="19" t="s">
        <v>137</v>
      </c>
      <c r="F39" s="19" t="s">
        <v>73</v>
      </c>
      <c r="G39" s="19" t="s">
        <v>138</v>
      </c>
      <c r="H39" s="24">
        <v>102</v>
      </c>
      <c r="I39" s="19">
        <v>91</v>
      </c>
      <c r="J39" s="19">
        <v>66.5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>
        <v>66.5</v>
      </c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</row>
    <row r="40" s="4" customFormat="1" ht="18" customHeight="1" spans="1:45">
      <c r="A40" s="26"/>
      <c r="B40" s="26"/>
      <c r="C40" s="19" t="s">
        <v>185</v>
      </c>
      <c r="D40" s="19" t="s">
        <v>140</v>
      </c>
      <c r="E40" s="19" t="s">
        <v>141</v>
      </c>
      <c r="F40" s="19" t="s">
        <v>61</v>
      </c>
      <c r="G40" s="19" t="s">
        <v>142</v>
      </c>
      <c r="H40" s="24">
        <v>107</v>
      </c>
      <c r="I40" s="19">
        <v>75</v>
      </c>
      <c r="J40" s="19">
        <v>19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>
        <v>19</v>
      </c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</row>
    <row r="41" s="4" customFormat="1" ht="18" customHeight="1" spans="1:45">
      <c r="A41" s="26"/>
      <c r="B41" s="26"/>
      <c r="C41" s="19" t="s">
        <v>186</v>
      </c>
      <c r="D41" s="19" t="s">
        <v>144</v>
      </c>
      <c r="E41" s="19" t="s">
        <v>145</v>
      </c>
      <c r="F41" s="19" t="s">
        <v>61</v>
      </c>
      <c r="G41" s="19" t="s">
        <v>142</v>
      </c>
      <c r="H41" s="24">
        <v>21</v>
      </c>
      <c r="I41" s="19">
        <v>59</v>
      </c>
      <c r="J41" s="19">
        <v>19</v>
      </c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>
        <v>19</v>
      </c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</row>
    <row r="42" s="4" customFormat="1" ht="18" customHeight="1" spans="1:45">
      <c r="A42" s="26"/>
      <c r="B42" s="26"/>
      <c r="C42" s="19" t="s">
        <v>187</v>
      </c>
      <c r="D42" s="19" t="s">
        <v>147</v>
      </c>
      <c r="E42" s="19" t="s">
        <v>148</v>
      </c>
      <c r="F42" s="19" t="s">
        <v>61</v>
      </c>
      <c r="G42" s="19" t="s">
        <v>149</v>
      </c>
      <c r="H42" s="24">
        <v>9</v>
      </c>
      <c r="I42" s="19">
        <v>32</v>
      </c>
      <c r="J42" s="19">
        <v>19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>
        <v>19</v>
      </c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</row>
    <row r="43" s="4" customFormat="1" ht="18" customHeight="1" spans="1:45">
      <c r="A43" s="26"/>
      <c r="B43" s="26"/>
      <c r="C43" s="19" t="s">
        <v>188</v>
      </c>
      <c r="D43" s="19" t="s">
        <v>151</v>
      </c>
      <c r="E43" s="19" t="s">
        <v>152</v>
      </c>
      <c r="F43" s="19" t="s">
        <v>61</v>
      </c>
      <c r="G43" s="19" t="s">
        <v>81</v>
      </c>
      <c r="H43" s="24">
        <v>58</v>
      </c>
      <c r="I43" s="19">
        <v>69</v>
      </c>
      <c r="J43" s="19">
        <v>76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>
        <v>76</v>
      </c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</row>
    <row r="44" s="4" customFormat="1" ht="18" customHeight="1" spans="1:45">
      <c r="A44" s="26"/>
      <c r="B44" s="26"/>
      <c r="C44" s="19" t="s">
        <v>189</v>
      </c>
      <c r="D44" s="19" t="s">
        <v>133</v>
      </c>
      <c r="E44" s="19" t="s">
        <v>134</v>
      </c>
      <c r="F44" s="19" t="s">
        <v>61</v>
      </c>
      <c r="G44" s="19" t="s">
        <v>135</v>
      </c>
      <c r="H44" s="24">
        <v>67</v>
      </c>
      <c r="I44" s="19">
        <v>45</v>
      </c>
      <c r="J44" s="19">
        <v>25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>
        <v>25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</row>
    <row r="45" s="4" customFormat="1" ht="18" customHeight="1" spans="1:45">
      <c r="A45" s="26"/>
      <c r="B45" s="26"/>
      <c r="C45" s="19" t="s">
        <v>190</v>
      </c>
      <c r="D45" s="19" t="s">
        <v>71</v>
      </c>
      <c r="E45" s="19" t="s">
        <v>137</v>
      </c>
      <c r="F45" s="19" t="s">
        <v>73</v>
      </c>
      <c r="G45" s="19" t="s">
        <v>138</v>
      </c>
      <c r="H45" s="24">
        <v>15</v>
      </c>
      <c r="I45" s="19">
        <v>54</v>
      </c>
      <c r="J45" s="19">
        <v>87.5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>
        <v>87.5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</row>
    <row r="46" s="4" customFormat="1" ht="18" customHeight="1" spans="1:45">
      <c r="A46" s="26"/>
      <c r="B46" s="26"/>
      <c r="C46" s="19" t="s">
        <v>191</v>
      </c>
      <c r="D46" s="19" t="s">
        <v>140</v>
      </c>
      <c r="E46" s="19" t="s">
        <v>141</v>
      </c>
      <c r="F46" s="19" t="s">
        <v>61</v>
      </c>
      <c r="G46" s="19" t="s">
        <v>142</v>
      </c>
      <c r="H46" s="24">
        <v>108</v>
      </c>
      <c r="I46" s="19">
        <v>74</v>
      </c>
      <c r="J46" s="19">
        <v>25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>
        <v>25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</row>
    <row r="47" s="4" customFormat="1" ht="18" customHeight="1" spans="1:45">
      <c r="A47" s="26"/>
      <c r="B47" s="26"/>
      <c r="C47" s="19" t="s">
        <v>192</v>
      </c>
      <c r="D47" s="19" t="s">
        <v>144</v>
      </c>
      <c r="E47" s="19" t="s">
        <v>145</v>
      </c>
      <c r="F47" s="19" t="s">
        <v>61</v>
      </c>
      <c r="G47" s="19" t="s">
        <v>142</v>
      </c>
      <c r="H47" s="24">
        <v>68</v>
      </c>
      <c r="I47" s="19">
        <v>56</v>
      </c>
      <c r="J47" s="19">
        <v>25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>
        <v>25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</row>
    <row r="48" s="4" customFormat="1" ht="18" customHeight="1" spans="1:45">
      <c r="A48" s="26"/>
      <c r="B48" s="26"/>
      <c r="C48" s="19" t="s">
        <v>193</v>
      </c>
      <c r="D48" s="19" t="s">
        <v>147</v>
      </c>
      <c r="E48" s="19" t="s">
        <v>148</v>
      </c>
      <c r="F48" s="19" t="s">
        <v>61</v>
      </c>
      <c r="G48" s="19" t="s">
        <v>149</v>
      </c>
      <c r="H48" s="24">
        <v>32</v>
      </c>
      <c r="I48" s="19">
        <v>23</v>
      </c>
      <c r="J48" s="19">
        <v>25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>
        <v>25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</row>
    <row r="49" s="4" customFormat="1" ht="18" customHeight="1" spans="1:45">
      <c r="A49" s="27"/>
      <c r="B49" s="27"/>
      <c r="C49" s="19" t="s">
        <v>194</v>
      </c>
      <c r="D49" s="19" t="s">
        <v>151</v>
      </c>
      <c r="E49" s="19" t="s">
        <v>152</v>
      </c>
      <c r="F49" s="19" t="s">
        <v>61</v>
      </c>
      <c r="G49" s="19" t="s">
        <v>81</v>
      </c>
      <c r="H49" s="24">
        <v>76</v>
      </c>
      <c r="I49" s="19">
        <v>63</v>
      </c>
      <c r="J49" s="19">
        <v>100</v>
      </c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>
        <v>100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</row>
  </sheetData>
  <mergeCells count="6">
    <mergeCell ref="A2:A15"/>
    <mergeCell ref="A16:A26"/>
    <mergeCell ref="A27:A49"/>
    <mergeCell ref="B2:B15"/>
    <mergeCell ref="B16:B26"/>
    <mergeCell ref="B27:B4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0"/>
  <sheetViews>
    <sheetView zoomScale="60" zoomScaleNormal="60" workbookViewId="0">
      <selection activeCell="F22" sqref="F22"/>
    </sheetView>
  </sheetViews>
  <sheetFormatPr defaultColWidth="9" defaultRowHeight="13.5"/>
  <cols>
    <col min="1" max="1" width="19.3805309734513" style="4" customWidth="1"/>
    <col min="2" max="2" width="20.1858407079646" style="4" customWidth="1"/>
    <col min="3" max="3" width="16.929203539823" style="4" customWidth="1"/>
    <col min="4" max="4" width="19.3893805309735" style="4" customWidth="1"/>
    <col min="5" max="5" width="32.5929203539823" style="4" customWidth="1"/>
    <col min="6" max="6" width="18.3274336283186" customWidth="1"/>
    <col min="7" max="7" width="18.1238938053097" style="4" customWidth="1"/>
    <col min="8" max="8" width="16.7345132743363" style="4" customWidth="1"/>
    <col min="9" max="41" width="11.4247787610619" style="4" customWidth="1"/>
    <col min="42" max="16384" width="9" style="4"/>
  </cols>
  <sheetData>
    <row r="1" ht="30" customHeight="1" spans="1:4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55</v>
      </c>
      <c r="F1" s="21" t="s">
        <v>129</v>
      </c>
      <c r="G1" s="21" t="s">
        <v>56</v>
      </c>
      <c r="H1" s="22" t="s">
        <v>195</v>
      </c>
      <c r="I1" s="23">
        <v>46092</v>
      </c>
      <c r="J1" s="23">
        <v>46093</v>
      </c>
      <c r="K1" s="23">
        <v>46094</v>
      </c>
      <c r="L1" s="23">
        <v>46095</v>
      </c>
      <c r="M1" s="23">
        <v>46096</v>
      </c>
      <c r="N1" s="23">
        <v>46097</v>
      </c>
      <c r="O1" s="23">
        <v>46098</v>
      </c>
      <c r="P1" s="23">
        <v>46099</v>
      </c>
      <c r="Q1" s="23">
        <v>46100</v>
      </c>
      <c r="R1" s="23">
        <v>46101</v>
      </c>
      <c r="S1" s="23">
        <v>46102</v>
      </c>
      <c r="T1" s="23">
        <v>46103</v>
      </c>
      <c r="U1" s="23">
        <v>46104</v>
      </c>
      <c r="V1" s="23">
        <v>46105</v>
      </c>
      <c r="W1" s="23">
        <v>46106</v>
      </c>
      <c r="X1" s="23">
        <v>46107</v>
      </c>
      <c r="Y1" s="23">
        <v>46108</v>
      </c>
      <c r="Z1" s="23">
        <v>46109</v>
      </c>
      <c r="AA1" s="23">
        <v>46110</v>
      </c>
      <c r="AB1" s="23">
        <v>46111</v>
      </c>
      <c r="AC1" s="23">
        <v>46112</v>
      </c>
      <c r="AD1" s="23">
        <v>46113</v>
      </c>
      <c r="AE1" s="23">
        <v>46114</v>
      </c>
      <c r="AF1" s="23">
        <v>46115</v>
      </c>
      <c r="AG1" s="23">
        <v>46116</v>
      </c>
      <c r="AH1" s="23">
        <v>46117</v>
      </c>
      <c r="AI1" s="23">
        <v>46118</v>
      </c>
      <c r="AJ1" s="23">
        <v>46119</v>
      </c>
      <c r="AK1" s="23">
        <v>46120</v>
      </c>
      <c r="AL1" s="23">
        <v>46121</v>
      </c>
      <c r="AM1" s="23">
        <v>46122</v>
      </c>
      <c r="AN1" s="23" t="s">
        <v>24</v>
      </c>
      <c r="AO1" s="23" t="s">
        <v>25</v>
      </c>
    </row>
    <row r="2" ht="18" customHeight="1" spans="1:41">
      <c r="A2" s="19" t="s">
        <v>132</v>
      </c>
      <c r="B2" s="19" t="s">
        <v>133</v>
      </c>
      <c r="C2" s="19" t="s">
        <v>134</v>
      </c>
      <c r="D2" s="19" t="s">
        <v>61</v>
      </c>
      <c r="E2" s="19" t="s">
        <v>196</v>
      </c>
      <c r="F2" s="24">
        <v>8</v>
      </c>
      <c r="G2" s="19">
        <v>38</v>
      </c>
      <c r="H2" s="19">
        <v>13</v>
      </c>
      <c r="I2" s="19"/>
      <c r="J2" s="19"/>
      <c r="K2" s="19"/>
      <c r="L2" s="19"/>
      <c r="M2" s="19"/>
      <c r="N2" s="19"/>
      <c r="O2" s="19"/>
      <c r="P2" s="19"/>
      <c r="Q2" s="19"/>
      <c r="R2" s="19">
        <v>13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</row>
    <row r="3" ht="18" customHeight="1" spans="1:41">
      <c r="A3" s="19" t="s">
        <v>136</v>
      </c>
      <c r="B3" s="19" t="s">
        <v>71</v>
      </c>
      <c r="C3" s="19" t="s">
        <v>137</v>
      </c>
      <c r="D3" s="19" t="s">
        <v>73</v>
      </c>
      <c r="E3" s="19" t="s">
        <v>138</v>
      </c>
      <c r="F3" s="24">
        <v>116</v>
      </c>
      <c r="G3" s="19">
        <v>85</v>
      </c>
      <c r="H3" s="19">
        <v>45.5</v>
      </c>
      <c r="I3" s="19"/>
      <c r="J3" s="19"/>
      <c r="K3" s="19"/>
      <c r="L3" s="19"/>
      <c r="M3" s="19"/>
      <c r="N3" s="19"/>
      <c r="O3" s="19"/>
      <c r="P3" s="19"/>
      <c r="Q3" s="19"/>
      <c r="R3" s="19">
        <v>45.5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</row>
    <row r="4" ht="18" customHeight="1" spans="1:41">
      <c r="A4" s="19" t="s">
        <v>139</v>
      </c>
      <c r="B4" s="19" t="s">
        <v>140</v>
      </c>
      <c r="C4" s="19" t="s">
        <v>141</v>
      </c>
      <c r="D4" s="19" t="s">
        <v>61</v>
      </c>
      <c r="E4" s="19" t="s">
        <v>142</v>
      </c>
      <c r="F4" s="24">
        <v>59</v>
      </c>
      <c r="G4" s="19">
        <v>40</v>
      </c>
      <c r="H4" s="19">
        <v>13</v>
      </c>
      <c r="I4" s="19"/>
      <c r="J4" s="19"/>
      <c r="K4" s="19"/>
      <c r="L4" s="19"/>
      <c r="M4" s="19"/>
      <c r="N4" s="19"/>
      <c r="O4" s="19"/>
      <c r="P4" s="19"/>
      <c r="Q4" s="19"/>
      <c r="R4" s="19">
        <v>13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</row>
    <row r="5" ht="18" customHeight="1" spans="1:41">
      <c r="A5" s="19" t="s">
        <v>143</v>
      </c>
      <c r="B5" s="19" t="s">
        <v>144</v>
      </c>
      <c r="C5" s="19" t="s">
        <v>145</v>
      </c>
      <c r="D5" s="19" t="s">
        <v>61</v>
      </c>
      <c r="E5" s="19" t="s">
        <v>142</v>
      </c>
      <c r="F5" s="24">
        <v>51</v>
      </c>
      <c r="G5" s="19">
        <v>52</v>
      </c>
      <c r="H5" s="19">
        <v>13</v>
      </c>
      <c r="I5" s="19"/>
      <c r="J5" s="19"/>
      <c r="K5" s="19"/>
      <c r="L5" s="19"/>
      <c r="M5" s="19"/>
      <c r="N5" s="19"/>
      <c r="O5" s="19"/>
      <c r="P5" s="19"/>
      <c r="Q5" s="19"/>
      <c r="R5" s="19">
        <v>13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</row>
    <row r="6" ht="18" customHeight="1" spans="1:41">
      <c r="A6" s="19" t="s">
        <v>146</v>
      </c>
      <c r="B6" s="19" t="s">
        <v>147</v>
      </c>
      <c r="C6" s="19" t="s">
        <v>148</v>
      </c>
      <c r="D6" s="19" t="s">
        <v>61</v>
      </c>
      <c r="E6" s="19" t="s">
        <v>149</v>
      </c>
      <c r="F6" s="24">
        <v>30</v>
      </c>
      <c r="G6" s="19">
        <v>31</v>
      </c>
      <c r="H6" s="19">
        <v>13</v>
      </c>
      <c r="I6" s="19"/>
      <c r="J6" s="19"/>
      <c r="K6" s="19"/>
      <c r="L6" s="19"/>
      <c r="M6" s="19"/>
      <c r="N6" s="19"/>
      <c r="O6" s="19"/>
      <c r="P6" s="19"/>
      <c r="Q6" s="19"/>
      <c r="R6" s="19">
        <v>13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</row>
    <row r="7" ht="18" customHeight="1" spans="1:41">
      <c r="A7" s="19" t="s">
        <v>150</v>
      </c>
      <c r="B7" s="19" t="s">
        <v>151</v>
      </c>
      <c r="C7" s="19" t="s">
        <v>152</v>
      </c>
      <c r="D7" s="19" t="s">
        <v>61</v>
      </c>
      <c r="E7" s="19" t="s">
        <v>81</v>
      </c>
      <c r="F7" s="24">
        <v>80</v>
      </c>
      <c r="G7" s="19">
        <v>55</v>
      </c>
      <c r="H7" s="19">
        <v>52</v>
      </c>
      <c r="I7" s="19"/>
      <c r="J7" s="19"/>
      <c r="K7" s="19"/>
      <c r="L7" s="19"/>
      <c r="M7" s="19"/>
      <c r="N7" s="19"/>
      <c r="O7" s="19"/>
      <c r="P7" s="19"/>
      <c r="Q7" s="19"/>
      <c r="R7" s="19">
        <v>52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</row>
    <row r="8" ht="18" customHeight="1" spans="1:41">
      <c r="A8" s="19" t="s">
        <v>153</v>
      </c>
      <c r="B8" s="19" t="s">
        <v>133</v>
      </c>
      <c r="C8" s="19" t="s">
        <v>134</v>
      </c>
      <c r="D8" s="19" t="s">
        <v>61</v>
      </c>
      <c r="E8" s="19" t="s">
        <v>135</v>
      </c>
      <c r="F8" s="24">
        <v>43</v>
      </c>
      <c r="G8" s="19">
        <v>43</v>
      </c>
      <c r="H8" s="19">
        <v>27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>
        <v>27</v>
      </c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</row>
    <row r="9" ht="18" customHeight="1" spans="1:41">
      <c r="A9" s="19" t="s">
        <v>154</v>
      </c>
      <c r="B9" s="19" t="s">
        <v>71</v>
      </c>
      <c r="C9" s="19" t="s">
        <v>137</v>
      </c>
      <c r="D9" s="19" t="s">
        <v>73</v>
      </c>
      <c r="E9" s="19" t="s">
        <v>138</v>
      </c>
      <c r="F9" s="24">
        <v>37</v>
      </c>
      <c r="G9" s="19">
        <v>76</v>
      </c>
      <c r="H9" s="19">
        <v>94.5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>
        <v>94.5</v>
      </c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</row>
    <row r="10" ht="18" customHeight="1" spans="1:41">
      <c r="A10" s="19" t="s">
        <v>155</v>
      </c>
      <c r="B10" s="19" t="s">
        <v>140</v>
      </c>
      <c r="C10" s="19" t="s">
        <v>141</v>
      </c>
      <c r="D10" s="19" t="s">
        <v>61</v>
      </c>
      <c r="E10" s="19" t="s">
        <v>142</v>
      </c>
      <c r="F10" s="24">
        <v>25</v>
      </c>
      <c r="G10" s="19">
        <v>61</v>
      </c>
      <c r="H10" s="19">
        <v>27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>
        <v>27</v>
      </c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</row>
    <row r="11" ht="18" customHeight="1" spans="1:41">
      <c r="A11" s="19" t="s">
        <v>156</v>
      </c>
      <c r="B11" s="19" t="s">
        <v>144</v>
      </c>
      <c r="C11" s="19" t="s">
        <v>145</v>
      </c>
      <c r="D11" s="19" t="s">
        <v>61</v>
      </c>
      <c r="E11" s="19" t="s">
        <v>142</v>
      </c>
      <c r="F11" s="24">
        <v>97</v>
      </c>
      <c r="G11" s="19">
        <v>68</v>
      </c>
      <c r="H11" s="19">
        <v>27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>
        <v>27</v>
      </c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</row>
    <row r="12" ht="18" customHeight="1" spans="1:41">
      <c r="A12" s="19" t="s">
        <v>157</v>
      </c>
      <c r="B12" s="19" t="s">
        <v>147</v>
      </c>
      <c r="C12" s="19" t="s">
        <v>148</v>
      </c>
      <c r="D12" s="19" t="s">
        <v>61</v>
      </c>
      <c r="E12" s="19" t="s">
        <v>149</v>
      </c>
      <c r="F12" s="24">
        <v>33</v>
      </c>
      <c r="G12" s="19">
        <v>32</v>
      </c>
      <c r="H12" s="19">
        <v>27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>
        <v>27</v>
      </c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</row>
    <row r="13" ht="18" customHeight="1" spans="1:41">
      <c r="A13" s="19" t="s">
        <v>158</v>
      </c>
      <c r="B13" s="19" t="s">
        <v>151</v>
      </c>
      <c r="C13" s="19" t="s">
        <v>152</v>
      </c>
      <c r="D13" s="19" t="s">
        <v>61</v>
      </c>
      <c r="E13" s="19" t="s">
        <v>81</v>
      </c>
      <c r="F13" s="24">
        <v>23</v>
      </c>
      <c r="G13" s="19">
        <v>48</v>
      </c>
      <c r="H13" s="19">
        <v>108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>
        <v>108</v>
      </c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</row>
    <row r="14" ht="18" customHeight="1" spans="1:41">
      <c r="A14" s="19" t="s">
        <v>159</v>
      </c>
      <c r="B14" s="19" t="s">
        <v>133</v>
      </c>
      <c r="C14" s="19" t="s">
        <v>134</v>
      </c>
      <c r="D14" s="19" t="s">
        <v>61</v>
      </c>
      <c r="E14" s="19" t="s">
        <v>135</v>
      </c>
      <c r="F14" s="24">
        <v>53</v>
      </c>
      <c r="G14" s="19">
        <v>40</v>
      </c>
      <c r="H14" s="19">
        <v>17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>
        <v>17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</row>
    <row r="15" ht="18" customHeight="1" spans="1:41">
      <c r="A15" s="19" t="s">
        <v>160</v>
      </c>
      <c r="B15" s="19" t="s">
        <v>71</v>
      </c>
      <c r="C15" s="19" t="s">
        <v>137</v>
      </c>
      <c r="D15" s="19" t="s">
        <v>73</v>
      </c>
      <c r="E15" s="19" t="s">
        <v>138</v>
      </c>
      <c r="F15" s="24">
        <v>101</v>
      </c>
      <c r="G15" s="19">
        <v>92</v>
      </c>
      <c r="H15" s="19">
        <v>59.5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>
        <v>59.5</v>
      </c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</row>
    <row r="16" ht="18" customHeight="1" spans="1:41">
      <c r="A16" s="19" t="s">
        <v>161</v>
      </c>
      <c r="B16" s="19" t="s">
        <v>140</v>
      </c>
      <c r="C16" s="19" t="s">
        <v>141</v>
      </c>
      <c r="D16" s="19" t="s">
        <v>61</v>
      </c>
      <c r="E16" s="19" t="s">
        <v>142</v>
      </c>
      <c r="F16" s="24">
        <v>91</v>
      </c>
      <c r="G16" s="19">
        <v>70</v>
      </c>
      <c r="H16" s="19">
        <v>17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>
        <v>17</v>
      </c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</row>
    <row r="17" ht="18" customHeight="1" spans="1:41">
      <c r="A17" s="19" t="s">
        <v>162</v>
      </c>
      <c r="B17" s="19" t="s">
        <v>144</v>
      </c>
      <c r="C17" s="19" t="s">
        <v>145</v>
      </c>
      <c r="D17" s="19" t="s">
        <v>61</v>
      </c>
      <c r="E17" s="19" t="s">
        <v>142</v>
      </c>
      <c r="F17" s="24">
        <v>51</v>
      </c>
      <c r="G17" s="19">
        <v>58</v>
      </c>
      <c r="H17" s="19">
        <v>17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>
        <v>17</v>
      </c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</row>
    <row r="18" ht="18" customHeight="1" spans="1:41">
      <c r="A18" s="19" t="s">
        <v>163</v>
      </c>
      <c r="B18" s="19" t="s">
        <v>147</v>
      </c>
      <c r="C18" s="19" t="s">
        <v>148</v>
      </c>
      <c r="D18" s="19" t="s">
        <v>61</v>
      </c>
      <c r="E18" s="19" t="s">
        <v>149</v>
      </c>
      <c r="F18" s="24">
        <v>13</v>
      </c>
      <c r="G18" s="19">
        <v>35</v>
      </c>
      <c r="H18" s="19">
        <v>17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>
        <v>17</v>
      </c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</row>
    <row r="19" ht="18" customHeight="1" spans="1:41">
      <c r="A19" s="19" t="s">
        <v>164</v>
      </c>
      <c r="B19" s="19" t="s">
        <v>151</v>
      </c>
      <c r="C19" s="19" t="s">
        <v>152</v>
      </c>
      <c r="D19" s="19" t="s">
        <v>61</v>
      </c>
      <c r="E19" s="19" t="s">
        <v>81</v>
      </c>
      <c r="F19" s="24">
        <v>38</v>
      </c>
      <c r="G19" s="19">
        <v>47</v>
      </c>
      <c r="H19" s="19">
        <v>68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>
        <v>68</v>
      </c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</row>
    <row r="20" ht="18" customHeight="1" spans="1:41">
      <c r="A20" s="19" t="s">
        <v>165</v>
      </c>
      <c r="B20" s="19" t="s">
        <v>133</v>
      </c>
      <c r="C20" s="19" t="s">
        <v>134</v>
      </c>
      <c r="D20" s="19" t="s">
        <v>61</v>
      </c>
      <c r="E20" s="19" t="s">
        <v>135</v>
      </c>
      <c r="F20" s="24">
        <v>17</v>
      </c>
      <c r="G20" s="19">
        <v>37</v>
      </c>
      <c r="H20" s="19">
        <v>16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>
        <v>16</v>
      </c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</row>
    <row r="21" ht="18" customHeight="1" spans="1:41">
      <c r="A21" s="19" t="s">
        <v>166</v>
      </c>
      <c r="B21" s="19" t="s">
        <v>71</v>
      </c>
      <c r="C21" s="19" t="s">
        <v>137</v>
      </c>
      <c r="D21" s="19" t="s">
        <v>73</v>
      </c>
      <c r="E21" s="19" t="s">
        <v>138</v>
      </c>
      <c r="F21" s="24">
        <v>39</v>
      </c>
      <c r="G21" s="19">
        <v>93</v>
      </c>
      <c r="H21" s="19">
        <v>56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>
        <v>56</v>
      </c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</row>
    <row r="22" ht="18" customHeight="1" spans="1:41">
      <c r="A22" s="19" t="s">
        <v>167</v>
      </c>
      <c r="B22" s="19" t="s">
        <v>140</v>
      </c>
      <c r="C22" s="19" t="s">
        <v>141</v>
      </c>
      <c r="D22" s="19" t="s">
        <v>61</v>
      </c>
      <c r="E22" s="19" t="s">
        <v>142</v>
      </c>
      <c r="F22" s="24">
        <v>34</v>
      </c>
      <c r="G22" s="19">
        <v>73</v>
      </c>
      <c r="H22" s="19">
        <v>16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>
        <v>16</v>
      </c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</row>
    <row r="23" ht="18" customHeight="1" spans="1:41">
      <c r="A23" s="19" t="s">
        <v>168</v>
      </c>
      <c r="B23" s="19" t="s">
        <v>144</v>
      </c>
      <c r="C23" s="19" t="s">
        <v>145</v>
      </c>
      <c r="D23" s="19" t="s">
        <v>61</v>
      </c>
      <c r="E23" s="19" t="s">
        <v>142</v>
      </c>
      <c r="F23" s="24">
        <v>71</v>
      </c>
      <c r="G23" s="19">
        <v>54</v>
      </c>
      <c r="H23" s="19">
        <v>16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>
        <v>16</v>
      </c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</row>
    <row r="24" ht="18" customHeight="1" spans="1:41">
      <c r="A24" s="19" t="s">
        <v>169</v>
      </c>
      <c r="B24" s="19" t="s">
        <v>147</v>
      </c>
      <c r="C24" s="19" t="s">
        <v>148</v>
      </c>
      <c r="D24" s="19" t="s">
        <v>61</v>
      </c>
      <c r="E24" s="19" t="s">
        <v>149</v>
      </c>
      <c r="F24" s="24">
        <v>23</v>
      </c>
      <c r="G24" s="19">
        <v>27</v>
      </c>
      <c r="H24" s="19">
        <v>16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>
        <v>16</v>
      </c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</row>
    <row r="25" ht="18" customHeight="1" spans="1:41">
      <c r="A25" s="19" t="s">
        <v>170</v>
      </c>
      <c r="B25" s="19" t="s">
        <v>151</v>
      </c>
      <c r="C25" s="19" t="s">
        <v>152</v>
      </c>
      <c r="D25" s="19" t="s">
        <v>61</v>
      </c>
      <c r="E25" s="19" t="s">
        <v>81</v>
      </c>
      <c r="F25" s="24">
        <v>88</v>
      </c>
      <c r="G25" s="19">
        <v>69</v>
      </c>
      <c r="H25" s="19">
        <v>64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>
        <v>64</v>
      </c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</row>
    <row r="26" ht="18" customHeight="1" spans="1:41">
      <c r="A26" s="19" t="s">
        <v>171</v>
      </c>
      <c r="B26" s="19" t="s">
        <v>133</v>
      </c>
      <c r="C26" s="19" t="s">
        <v>134</v>
      </c>
      <c r="D26" s="19" t="s">
        <v>61</v>
      </c>
      <c r="E26" s="19" t="s">
        <v>135</v>
      </c>
      <c r="F26" s="24">
        <v>25</v>
      </c>
      <c r="G26" s="19">
        <v>48</v>
      </c>
      <c r="H26" s="19">
        <v>31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>
        <v>31</v>
      </c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</row>
    <row r="27" ht="18" customHeight="1" spans="1:41">
      <c r="A27" s="19" t="s">
        <v>172</v>
      </c>
      <c r="B27" s="19" t="s">
        <v>71</v>
      </c>
      <c r="C27" s="19" t="s">
        <v>137</v>
      </c>
      <c r="D27" s="19" t="s">
        <v>73</v>
      </c>
      <c r="E27" s="19" t="s">
        <v>138</v>
      </c>
      <c r="F27" s="24">
        <v>39</v>
      </c>
      <c r="G27" s="19">
        <v>94</v>
      </c>
      <c r="H27" s="19">
        <v>108.5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>
        <v>108.5</v>
      </c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</row>
    <row r="28" ht="18" customHeight="1" spans="1:41">
      <c r="A28" s="19" t="s">
        <v>173</v>
      </c>
      <c r="B28" s="19" t="s">
        <v>140</v>
      </c>
      <c r="C28" s="19" t="s">
        <v>141</v>
      </c>
      <c r="D28" s="19" t="s">
        <v>61</v>
      </c>
      <c r="E28" s="19" t="s">
        <v>142</v>
      </c>
      <c r="F28" s="24">
        <v>75</v>
      </c>
      <c r="G28" s="19">
        <v>57</v>
      </c>
      <c r="H28" s="19">
        <v>31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>
        <v>31</v>
      </c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</row>
    <row r="29" ht="18" customHeight="1" spans="1:41">
      <c r="A29" s="19" t="s">
        <v>174</v>
      </c>
      <c r="B29" s="19" t="s">
        <v>144</v>
      </c>
      <c r="C29" s="19" t="s">
        <v>145</v>
      </c>
      <c r="D29" s="19" t="s">
        <v>61</v>
      </c>
      <c r="E29" s="19" t="s">
        <v>142</v>
      </c>
      <c r="F29" s="24">
        <v>22</v>
      </c>
      <c r="G29" s="19">
        <v>69</v>
      </c>
      <c r="H29" s="19">
        <v>31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>
        <v>31</v>
      </c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</row>
    <row r="30" ht="18" customHeight="1" spans="1:41">
      <c r="A30" s="19" t="s">
        <v>175</v>
      </c>
      <c r="B30" s="19" t="s">
        <v>147</v>
      </c>
      <c r="C30" s="19" t="s">
        <v>148</v>
      </c>
      <c r="D30" s="19" t="s">
        <v>61</v>
      </c>
      <c r="E30" s="19" t="s">
        <v>149</v>
      </c>
      <c r="F30" s="24">
        <v>36</v>
      </c>
      <c r="G30" s="19">
        <v>33</v>
      </c>
      <c r="H30" s="19">
        <v>31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>
        <v>31</v>
      </c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</row>
    <row r="31" ht="18" customHeight="1" spans="1:41">
      <c r="A31" s="19" t="s">
        <v>176</v>
      </c>
      <c r="B31" s="19" t="s">
        <v>151</v>
      </c>
      <c r="C31" s="19" t="s">
        <v>152</v>
      </c>
      <c r="D31" s="19" t="s">
        <v>61</v>
      </c>
      <c r="E31" s="19" t="s">
        <v>81</v>
      </c>
      <c r="F31" s="24">
        <v>76</v>
      </c>
      <c r="G31" s="19">
        <v>56</v>
      </c>
      <c r="H31" s="19">
        <v>124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>
        <v>124</v>
      </c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</row>
    <row r="32" ht="18" customHeight="1" spans="1:41">
      <c r="A32" s="19" t="s">
        <v>177</v>
      </c>
      <c r="B32" s="19" t="s">
        <v>133</v>
      </c>
      <c r="C32" s="19" t="s">
        <v>134</v>
      </c>
      <c r="D32" s="19" t="s">
        <v>61</v>
      </c>
      <c r="E32" s="19" t="s">
        <v>135</v>
      </c>
      <c r="F32" s="24">
        <v>10</v>
      </c>
      <c r="G32" s="19">
        <v>32</v>
      </c>
      <c r="H32" s="19">
        <v>22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>
        <v>22</v>
      </c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</row>
    <row r="33" ht="18" customHeight="1" spans="1:41">
      <c r="A33" s="19" t="s">
        <v>178</v>
      </c>
      <c r="B33" s="19" t="s">
        <v>71</v>
      </c>
      <c r="C33" s="19" t="s">
        <v>137</v>
      </c>
      <c r="D33" s="19" t="s">
        <v>73</v>
      </c>
      <c r="E33" s="19" t="s">
        <v>138</v>
      </c>
      <c r="F33" s="24">
        <v>109</v>
      </c>
      <c r="G33" s="19">
        <v>87</v>
      </c>
      <c r="H33" s="19">
        <v>77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>
        <v>77</v>
      </c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</row>
    <row r="34" ht="18" customHeight="1" spans="1:41">
      <c r="A34" s="19" t="s">
        <v>179</v>
      </c>
      <c r="B34" s="19" t="s">
        <v>140</v>
      </c>
      <c r="C34" s="19" t="s">
        <v>141</v>
      </c>
      <c r="D34" s="19" t="s">
        <v>61</v>
      </c>
      <c r="E34" s="19" t="s">
        <v>142</v>
      </c>
      <c r="F34" s="24">
        <v>56</v>
      </c>
      <c r="G34" s="19">
        <v>49</v>
      </c>
      <c r="H34" s="19">
        <v>22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>
        <v>22</v>
      </c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</row>
    <row r="35" ht="18" customHeight="1" spans="1:41">
      <c r="A35" s="19" t="s">
        <v>180</v>
      </c>
      <c r="B35" s="19" t="s">
        <v>144</v>
      </c>
      <c r="C35" s="19" t="s">
        <v>145</v>
      </c>
      <c r="D35" s="19" t="s">
        <v>61</v>
      </c>
      <c r="E35" s="19" t="s">
        <v>142</v>
      </c>
      <c r="F35" s="24">
        <v>22</v>
      </c>
      <c r="G35" s="19">
        <v>40</v>
      </c>
      <c r="H35" s="19">
        <v>22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>
        <v>22</v>
      </c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</row>
    <row r="36" ht="18" customHeight="1" spans="1:41">
      <c r="A36" s="19" t="s">
        <v>181</v>
      </c>
      <c r="B36" s="19" t="s">
        <v>147</v>
      </c>
      <c r="C36" s="19" t="s">
        <v>148</v>
      </c>
      <c r="D36" s="19" t="s">
        <v>61</v>
      </c>
      <c r="E36" s="19" t="s">
        <v>149</v>
      </c>
      <c r="F36" s="24">
        <v>44</v>
      </c>
      <c r="G36" s="19">
        <v>33</v>
      </c>
      <c r="H36" s="19">
        <v>22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>
        <v>22</v>
      </c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</row>
    <row r="37" ht="18" customHeight="1" spans="1:41">
      <c r="A37" s="19" t="s">
        <v>182</v>
      </c>
      <c r="B37" s="19" t="s">
        <v>151</v>
      </c>
      <c r="C37" s="19" t="s">
        <v>152</v>
      </c>
      <c r="D37" s="19" t="s">
        <v>61</v>
      </c>
      <c r="E37" s="19" t="s">
        <v>81</v>
      </c>
      <c r="F37" s="24">
        <v>56</v>
      </c>
      <c r="G37" s="19">
        <v>40</v>
      </c>
      <c r="H37" s="19">
        <v>88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>
        <v>88</v>
      </c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</row>
    <row r="38" ht="18" customHeight="1" spans="1:41">
      <c r="A38" s="19" t="s">
        <v>183</v>
      </c>
      <c r="B38" s="19" t="s">
        <v>133</v>
      </c>
      <c r="C38" s="19" t="s">
        <v>134</v>
      </c>
      <c r="D38" s="19" t="s">
        <v>61</v>
      </c>
      <c r="E38" s="19" t="s">
        <v>135</v>
      </c>
      <c r="F38" s="24">
        <v>55</v>
      </c>
      <c r="G38" s="19">
        <v>46</v>
      </c>
      <c r="H38" s="19">
        <v>19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>
        <v>19</v>
      </c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</row>
    <row r="39" ht="18" customHeight="1" spans="1:41">
      <c r="A39" s="19" t="s">
        <v>184</v>
      </c>
      <c r="B39" s="19" t="s">
        <v>71</v>
      </c>
      <c r="C39" s="19" t="s">
        <v>137</v>
      </c>
      <c r="D39" s="19" t="s">
        <v>73</v>
      </c>
      <c r="E39" s="19" t="s">
        <v>138</v>
      </c>
      <c r="F39" s="24">
        <v>102</v>
      </c>
      <c r="G39" s="19">
        <v>91</v>
      </c>
      <c r="H39" s="19">
        <v>66.5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>
        <v>66.5</v>
      </c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</row>
    <row r="40" ht="18" customHeight="1" spans="1:41">
      <c r="A40" s="19" t="s">
        <v>185</v>
      </c>
      <c r="B40" s="19" t="s">
        <v>140</v>
      </c>
      <c r="C40" s="19" t="s">
        <v>141</v>
      </c>
      <c r="D40" s="19" t="s">
        <v>61</v>
      </c>
      <c r="E40" s="19" t="s">
        <v>142</v>
      </c>
      <c r="F40" s="24">
        <v>107</v>
      </c>
      <c r="G40" s="19">
        <v>75</v>
      </c>
      <c r="H40" s="19">
        <v>19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>
        <v>19</v>
      </c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</row>
    <row r="41" ht="18" customHeight="1" spans="1:41">
      <c r="A41" s="19" t="s">
        <v>186</v>
      </c>
      <c r="B41" s="19" t="s">
        <v>144</v>
      </c>
      <c r="C41" s="19" t="s">
        <v>145</v>
      </c>
      <c r="D41" s="19" t="s">
        <v>61</v>
      </c>
      <c r="E41" s="19" t="s">
        <v>142</v>
      </c>
      <c r="F41" s="24">
        <v>21</v>
      </c>
      <c r="G41" s="19">
        <v>59</v>
      </c>
      <c r="H41" s="19">
        <v>19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>
        <v>19</v>
      </c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</row>
    <row r="42" ht="18" customHeight="1" spans="1:41">
      <c r="A42" s="19" t="s">
        <v>187</v>
      </c>
      <c r="B42" s="19" t="s">
        <v>147</v>
      </c>
      <c r="C42" s="19" t="s">
        <v>148</v>
      </c>
      <c r="D42" s="19" t="s">
        <v>61</v>
      </c>
      <c r="E42" s="19" t="s">
        <v>149</v>
      </c>
      <c r="F42" s="24">
        <v>9</v>
      </c>
      <c r="G42" s="19">
        <v>32</v>
      </c>
      <c r="H42" s="19">
        <v>19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>
        <v>19</v>
      </c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</row>
    <row r="43" ht="18" customHeight="1" spans="1:41">
      <c r="A43" s="19" t="s">
        <v>188</v>
      </c>
      <c r="B43" s="19" t="s">
        <v>151</v>
      </c>
      <c r="C43" s="19" t="s">
        <v>152</v>
      </c>
      <c r="D43" s="19" t="s">
        <v>61</v>
      </c>
      <c r="E43" s="19" t="s">
        <v>81</v>
      </c>
      <c r="F43" s="24">
        <v>58</v>
      </c>
      <c r="G43" s="19">
        <v>69</v>
      </c>
      <c r="H43" s="19">
        <v>76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>
        <v>76</v>
      </c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</row>
    <row r="44" ht="18" customHeight="1" spans="1:41">
      <c r="A44" s="19" t="s">
        <v>189</v>
      </c>
      <c r="B44" s="19" t="s">
        <v>133</v>
      </c>
      <c r="C44" s="19" t="s">
        <v>134</v>
      </c>
      <c r="D44" s="19" t="s">
        <v>61</v>
      </c>
      <c r="E44" s="19" t="s">
        <v>135</v>
      </c>
      <c r="F44" s="24">
        <v>67</v>
      </c>
      <c r="G44" s="19">
        <v>45</v>
      </c>
      <c r="H44" s="19">
        <v>25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>
        <v>25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</row>
    <row r="45" ht="18" customHeight="1" spans="1:41">
      <c r="A45" s="19" t="s">
        <v>190</v>
      </c>
      <c r="B45" s="19" t="s">
        <v>71</v>
      </c>
      <c r="C45" s="19" t="s">
        <v>137</v>
      </c>
      <c r="D45" s="19" t="s">
        <v>73</v>
      </c>
      <c r="E45" s="19" t="s">
        <v>138</v>
      </c>
      <c r="F45" s="24">
        <v>15</v>
      </c>
      <c r="G45" s="19">
        <v>54</v>
      </c>
      <c r="H45" s="19">
        <v>87.5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>
        <v>87.5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</row>
    <row r="46" ht="18" customHeight="1" spans="1:41">
      <c r="A46" s="19" t="s">
        <v>191</v>
      </c>
      <c r="B46" s="19" t="s">
        <v>140</v>
      </c>
      <c r="C46" s="19" t="s">
        <v>141</v>
      </c>
      <c r="D46" s="19" t="s">
        <v>61</v>
      </c>
      <c r="E46" s="19" t="s">
        <v>142</v>
      </c>
      <c r="F46" s="24">
        <v>108</v>
      </c>
      <c r="G46" s="19">
        <v>74</v>
      </c>
      <c r="H46" s="19">
        <v>25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>
        <v>25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</row>
    <row r="47" ht="18" customHeight="1" spans="1:41">
      <c r="A47" s="19" t="s">
        <v>192</v>
      </c>
      <c r="B47" s="19" t="s">
        <v>144</v>
      </c>
      <c r="C47" s="19" t="s">
        <v>145</v>
      </c>
      <c r="D47" s="19" t="s">
        <v>61</v>
      </c>
      <c r="E47" s="19" t="s">
        <v>142</v>
      </c>
      <c r="F47" s="24">
        <v>68</v>
      </c>
      <c r="G47" s="19">
        <v>56</v>
      </c>
      <c r="H47" s="19">
        <v>25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>
        <v>25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</row>
    <row r="48" ht="18" customHeight="1" spans="1:41">
      <c r="A48" s="19" t="s">
        <v>193</v>
      </c>
      <c r="B48" s="19" t="s">
        <v>147</v>
      </c>
      <c r="C48" s="19" t="s">
        <v>148</v>
      </c>
      <c r="D48" s="19" t="s">
        <v>61</v>
      </c>
      <c r="E48" s="19" t="s">
        <v>149</v>
      </c>
      <c r="F48" s="24">
        <v>32</v>
      </c>
      <c r="G48" s="19">
        <v>23</v>
      </c>
      <c r="H48" s="19">
        <v>25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>
        <v>25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</row>
    <row r="49" ht="18" customHeight="1" spans="1:41">
      <c r="A49" s="19" t="s">
        <v>194</v>
      </c>
      <c r="B49" s="19" t="s">
        <v>151</v>
      </c>
      <c r="C49" s="19" t="s">
        <v>152</v>
      </c>
      <c r="D49" s="19" t="s">
        <v>61</v>
      </c>
      <c r="E49" s="19" t="s">
        <v>81</v>
      </c>
      <c r="F49" s="24">
        <v>76</v>
      </c>
      <c r="G49" s="19">
        <v>63</v>
      </c>
      <c r="H49" s="19">
        <v>100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>
        <v>100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</row>
    <row r="50" ht="18" customHeight="1" spans="1:41">
      <c r="A50" s="19" t="s">
        <v>197</v>
      </c>
      <c r="B50" s="19" t="s">
        <v>198</v>
      </c>
      <c r="C50" s="19" t="s">
        <v>199</v>
      </c>
      <c r="D50" s="19" t="s">
        <v>61</v>
      </c>
      <c r="E50" s="19" t="s">
        <v>149</v>
      </c>
      <c r="F50" s="24">
        <v>19</v>
      </c>
      <c r="G50" s="19">
        <v>20</v>
      </c>
      <c r="H50" s="19">
        <v>18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>
        <v>18</v>
      </c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99"/>
  <sheetViews>
    <sheetView tabSelected="1" zoomScale="72" zoomScaleNormal="72" workbookViewId="0">
      <selection activeCell="H16" sqref="H16:H17"/>
    </sheetView>
  </sheetViews>
  <sheetFormatPr defaultColWidth="9" defaultRowHeight="13.5"/>
  <cols>
    <col min="1" max="1" width="9" style="4"/>
    <col min="2" max="2" width="20.1858407079646" style="4" customWidth="1"/>
    <col min="3" max="3" width="16.929203539823" style="4" customWidth="1"/>
    <col min="4" max="4" width="19.3893805309735" style="4" customWidth="1"/>
    <col min="5" max="7" width="19.1238938053097" style="4" customWidth="1"/>
    <col min="8" max="8" width="18.3274336283186" customWidth="1"/>
    <col min="9" max="9" width="18.1238938053097" style="4" customWidth="1"/>
    <col min="10" max="10" width="16.7345132743363" style="4" customWidth="1"/>
    <col min="11" max="12" width="20.0442477876106" style="4" customWidth="1"/>
    <col min="13" max="45" width="10.6283185840708" style="4" customWidth="1"/>
    <col min="46" max="16384" width="9" style="4"/>
  </cols>
  <sheetData>
    <row r="1" s="1" customFormat="1" ht="30" customHeight="1" spans="1:45">
      <c r="A1" s="5" t="s">
        <v>0</v>
      </c>
      <c r="B1" s="6" t="s">
        <v>51</v>
      </c>
      <c r="C1" s="6" t="s">
        <v>52</v>
      </c>
      <c r="D1" s="6" t="s">
        <v>53</v>
      </c>
      <c r="E1" s="5" t="s">
        <v>55</v>
      </c>
      <c r="F1" s="5" t="s">
        <v>200</v>
      </c>
      <c r="G1" s="5" t="s">
        <v>50</v>
      </c>
      <c r="H1" s="6" t="s">
        <v>129</v>
      </c>
      <c r="I1" s="6" t="s">
        <v>56</v>
      </c>
      <c r="J1" s="7" t="s">
        <v>195</v>
      </c>
      <c r="K1" s="8" t="s">
        <v>201</v>
      </c>
      <c r="L1" s="9"/>
      <c r="M1" s="7">
        <v>46092</v>
      </c>
      <c r="N1" s="7">
        <v>46093</v>
      </c>
      <c r="O1" s="7">
        <v>46094</v>
      </c>
      <c r="P1" s="7">
        <v>46095</v>
      </c>
      <c r="Q1" s="7">
        <v>46096</v>
      </c>
      <c r="R1" s="7">
        <v>46097</v>
      </c>
      <c r="S1" s="7">
        <v>46098</v>
      </c>
      <c r="T1" s="7">
        <v>46099</v>
      </c>
      <c r="U1" s="7">
        <v>46100</v>
      </c>
      <c r="V1" s="7">
        <v>46101</v>
      </c>
      <c r="W1" s="7">
        <v>46102</v>
      </c>
      <c r="X1" s="7">
        <v>46103</v>
      </c>
      <c r="Y1" s="7">
        <v>46104</v>
      </c>
      <c r="Z1" s="7">
        <v>46105</v>
      </c>
      <c r="AA1" s="7">
        <v>46106</v>
      </c>
      <c r="AB1" s="7">
        <v>46107</v>
      </c>
      <c r="AC1" s="7">
        <v>46108</v>
      </c>
      <c r="AD1" s="7">
        <v>46109</v>
      </c>
      <c r="AE1" s="7">
        <v>46110</v>
      </c>
      <c r="AF1" s="7">
        <v>46111</v>
      </c>
      <c r="AG1" s="7">
        <v>46112</v>
      </c>
      <c r="AH1" s="7">
        <v>46113</v>
      </c>
      <c r="AI1" s="7">
        <v>46114</v>
      </c>
      <c r="AJ1" s="7">
        <v>46115</v>
      </c>
      <c r="AK1" s="7">
        <v>46116</v>
      </c>
      <c r="AL1" s="7">
        <v>46117</v>
      </c>
      <c r="AM1" s="7">
        <v>46118</v>
      </c>
      <c r="AN1" s="7">
        <v>46119</v>
      </c>
      <c r="AO1" s="7">
        <v>46120</v>
      </c>
      <c r="AP1" s="7">
        <v>46121</v>
      </c>
      <c r="AQ1" s="7">
        <v>46122</v>
      </c>
      <c r="AR1" s="7" t="s">
        <v>24</v>
      </c>
      <c r="AS1" s="7" t="s">
        <v>25</v>
      </c>
    </row>
    <row r="2" s="2" customFormat="1" ht="18" customHeight="1" spans="1:45">
      <c r="B2" s="10" t="s">
        <v>133</v>
      </c>
      <c r="C2" s="10" t="s">
        <v>134</v>
      </c>
      <c r="D2" s="10" t="s">
        <v>61</v>
      </c>
      <c r="E2" s="10" t="s">
        <v>135</v>
      </c>
      <c r="F2" s="10"/>
      <c r="G2" s="10"/>
      <c r="H2" s="11">
        <v>8</v>
      </c>
      <c r="I2" s="11">
        <v>38</v>
      </c>
      <c r="J2" s="11">
        <v>13</v>
      </c>
      <c r="K2" s="12"/>
      <c r="L2" s="13" t="s">
        <v>202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</row>
    <row r="3" s="3" customFormat="1" ht="18" customHeight="1" spans="1:45">
      <c r="A3" s="2"/>
      <c r="B3" s="14"/>
      <c r="C3" s="14"/>
      <c r="D3" s="14"/>
      <c r="E3" s="14"/>
      <c r="F3" s="14"/>
      <c r="G3" s="14"/>
      <c r="H3" s="15"/>
      <c r="I3" s="15"/>
      <c r="J3" s="15"/>
      <c r="K3" s="16"/>
      <c r="L3" s="17" t="s">
        <v>203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</row>
    <row r="4" s="2" customFormat="1" ht="18" customHeight="1" spans="1:45">
      <c r="B4" s="10" t="s">
        <v>71</v>
      </c>
      <c r="C4" s="10" t="s">
        <v>137</v>
      </c>
      <c r="D4" s="10" t="s">
        <v>73</v>
      </c>
      <c r="E4" s="10" t="s">
        <v>138</v>
      </c>
      <c r="F4" s="10"/>
      <c r="G4" s="10"/>
      <c r="H4" s="11">
        <v>116</v>
      </c>
      <c r="I4" s="11">
        <v>85</v>
      </c>
      <c r="J4" s="11">
        <v>45.5</v>
      </c>
      <c r="K4" s="12"/>
      <c r="L4" s="13" t="s">
        <v>202</v>
      </c>
      <c r="M4" s="13"/>
      <c r="N4" s="13"/>
      <c r="O4" s="13">
        <v>45.5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</row>
    <row r="5" s="3" customFormat="1" ht="18" customHeight="1" spans="1:45">
      <c r="A5" s="2"/>
      <c r="B5" s="14"/>
      <c r="C5" s="14"/>
      <c r="D5" s="14"/>
      <c r="E5" s="14"/>
      <c r="F5" s="14"/>
      <c r="G5" s="14"/>
      <c r="H5" s="15"/>
      <c r="I5" s="15"/>
      <c r="J5" s="15"/>
      <c r="K5" s="16"/>
      <c r="L5" s="17" t="s">
        <v>203</v>
      </c>
      <c r="M5" s="17"/>
      <c r="N5" s="17">
        <v>116</v>
      </c>
      <c r="O5" s="17">
        <f>H4-J4</f>
        <v>70.5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</row>
    <row r="6" s="2" customFormat="1" ht="18" customHeight="1" spans="1:45">
      <c r="B6" s="10" t="s">
        <v>140</v>
      </c>
      <c r="C6" s="10" t="s">
        <v>141</v>
      </c>
      <c r="D6" s="10" t="s">
        <v>61</v>
      </c>
      <c r="E6" s="10" t="s">
        <v>142</v>
      </c>
      <c r="F6" s="10"/>
      <c r="G6" s="10"/>
      <c r="H6" s="11">
        <v>59</v>
      </c>
      <c r="I6" s="11">
        <v>40</v>
      </c>
      <c r="J6" s="11">
        <v>13</v>
      </c>
      <c r="K6" s="12"/>
      <c r="L6" s="13" t="s">
        <v>202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</row>
    <row r="7" s="3" customFormat="1" ht="18" customHeight="1" spans="1:45">
      <c r="A7" s="2"/>
      <c r="B7" s="14"/>
      <c r="C7" s="14"/>
      <c r="D7" s="14"/>
      <c r="E7" s="14"/>
      <c r="F7" s="14"/>
      <c r="G7" s="14"/>
      <c r="H7" s="15"/>
      <c r="I7" s="15"/>
      <c r="J7" s="15"/>
      <c r="K7" s="16"/>
      <c r="L7" s="17" t="s">
        <v>203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</row>
    <row r="8" s="2" customFormat="1" ht="18" customHeight="1" spans="1:45">
      <c r="B8" s="10" t="s">
        <v>144</v>
      </c>
      <c r="C8" s="10" t="s">
        <v>145</v>
      </c>
      <c r="D8" s="10" t="s">
        <v>61</v>
      </c>
      <c r="E8" s="10" t="s">
        <v>142</v>
      </c>
      <c r="F8" s="10"/>
      <c r="G8" s="10"/>
      <c r="H8" s="11">
        <v>51</v>
      </c>
      <c r="I8" s="11">
        <v>52</v>
      </c>
      <c r="J8" s="11">
        <v>13</v>
      </c>
      <c r="K8" s="12"/>
      <c r="L8" s="13" t="s">
        <v>202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</row>
    <row r="9" s="3" customFormat="1" ht="18" customHeight="1" spans="1:45">
      <c r="A9" s="2"/>
      <c r="B9" s="14"/>
      <c r="C9" s="14"/>
      <c r="D9" s="14"/>
      <c r="E9" s="14"/>
      <c r="F9" s="14"/>
      <c r="G9" s="14"/>
      <c r="H9" s="15"/>
      <c r="I9" s="15"/>
      <c r="J9" s="15"/>
      <c r="K9" s="16"/>
      <c r="L9" s="17" t="s">
        <v>203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</row>
    <row r="10" s="2" customFormat="1" ht="18" customHeight="1" spans="1:45">
      <c r="B10" s="10" t="s">
        <v>147</v>
      </c>
      <c r="C10" s="10" t="s">
        <v>148</v>
      </c>
      <c r="D10" s="10" t="s">
        <v>61</v>
      </c>
      <c r="E10" s="10" t="s">
        <v>149</v>
      </c>
      <c r="F10" s="10"/>
      <c r="G10" s="10"/>
      <c r="H10" s="11">
        <v>30</v>
      </c>
      <c r="I10" s="11">
        <v>31</v>
      </c>
      <c r="J10" s="11">
        <v>13</v>
      </c>
      <c r="K10" s="12"/>
      <c r="L10" s="13" t="s">
        <v>202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</row>
    <row r="11" s="3" customFormat="1" ht="18" customHeight="1" spans="1:45">
      <c r="A11" s="2"/>
      <c r="B11" s="14"/>
      <c r="C11" s="14"/>
      <c r="D11" s="14"/>
      <c r="E11" s="14"/>
      <c r="F11" s="14"/>
      <c r="G11" s="14"/>
      <c r="H11" s="15"/>
      <c r="I11" s="15"/>
      <c r="J11" s="15"/>
      <c r="K11" s="16"/>
      <c r="L11" s="17" t="s">
        <v>203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="2" customFormat="1" ht="18" customHeight="1" spans="1:45">
      <c r="B12" s="10" t="s">
        <v>151</v>
      </c>
      <c r="C12" s="10" t="s">
        <v>152</v>
      </c>
      <c r="D12" s="10" t="s">
        <v>61</v>
      </c>
      <c r="E12" s="10" t="s">
        <v>81</v>
      </c>
      <c r="F12" s="10"/>
      <c r="G12" s="10"/>
      <c r="H12" s="11">
        <v>80</v>
      </c>
      <c r="I12" s="11">
        <v>55</v>
      </c>
      <c r="J12" s="11">
        <v>52</v>
      </c>
      <c r="K12" s="12"/>
      <c r="L12" s="13" t="s">
        <v>202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</row>
    <row r="13" s="3" customFormat="1" ht="18" customHeight="1" spans="1:45">
      <c r="A13" s="2"/>
      <c r="B13" s="14"/>
      <c r="C13" s="14"/>
      <c r="D13" s="14"/>
      <c r="E13" s="14"/>
      <c r="F13" s="14"/>
      <c r="G13" s="14"/>
      <c r="H13" s="15"/>
      <c r="I13" s="15"/>
      <c r="J13" s="15"/>
      <c r="K13" s="16"/>
      <c r="L13" s="17" t="s">
        <v>203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</row>
    <row r="14" s="2" customFormat="1" ht="18" customHeight="1" spans="1:45">
      <c r="B14" s="10" t="s">
        <v>133</v>
      </c>
      <c r="C14" s="10" t="s">
        <v>134</v>
      </c>
      <c r="D14" s="10" t="s">
        <v>61</v>
      </c>
      <c r="E14" s="10" t="s">
        <v>135</v>
      </c>
      <c r="F14" s="10"/>
      <c r="G14" s="10"/>
      <c r="H14" s="11">
        <v>43</v>
      </c>
      <c r="I14" s="11">
        <v>43</v>
      </c>
      <c r="J14" s="11">
        <v>27</v>
      </c>
      <c r="K14" s="12"/>
      <c r="L14" s="13" t="s">
        <v>202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</row>
    <row r="15" s="3" customFormat="1" ht="18" customHeight="1" spans="1:45">
      <c r="A15" s="2"/>
      <c r="B15" s="14"/>
      <c r="C15" s="14"/>
      <c r="D15" s="14"/>
      <c r="E15" s="14"/>
      <c r="F15" s="14"/>
      <c r="G15" s="14"/>
      <c r="H15" s="15"/>
      <c r="I15" s="15"/>
      <c r="J15" s="15"/>
      <c r="K15" s="16"/>
      <c r="L15" s="17" t="s">
        <v>203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</row>
    <row r="16" s="2" customFormat="1" ht="18" customHeight="1" spans="1:45">
      <c r="B16" s="10" t="s">
        <v>71</v>
      </c>
      <c r="C16" s="10" t="s">
        <v>137</v>
      </c>
      <c r="D16" s="10" t="s">
        <v>73</v>
      </c>
      <c r="E16" s="10" t="s">
        <v>138</v>
      </c>
      <c r="F16" s="10"/>
      <c r="G16" s="10"/>
      <c r="H16" s="11">
        <v>37</v>
      </c>
      <c r="I16" s="11">
        <v>76</v>
      </c>
      <c r="J16" s="11">
        <v>94.5</v>
      </c>
      <c r="K16" s="12"/>
      <c r="L16" s="13" t="s">
        <v>202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</row>
    <row r="17" s="3" customFormat="1" ht="18" customHeight="1" spans="1:45">
      <c r="A17" s="2"/>
      <c r="B17" s="14"/>
      <c r="C17" s="14"/>
      <c r="D17" s="14"/>
      <c r="E17" s="14"/>
      <c r="F17" s="14"/>
      <c r="G17" s="14"/>
      <c r="H17" s="15"/>
      <c r="I17" s="15"/>
      <c r="J17" s="15"/>
      <c r="K17" s="16"/>
      <c r="L17" s="17" t="s">
        <v>203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="2" customFormat="1" ht="18" customHeight="1" spans="1:45">
      <c r="B18" s="10" t="s">
        <v>140</v>
      </c>
      <c r="C18" s="10" t="s">
        <v>141</v>
      </c>
      <c r="D18" s="10" t="s">
        <v>61</v>
      </c>
      <c r="E18" s="10" t="s">
        <v>142</v>
      </c>
      <c r="F18" s="10"/>
      <c r="G18" s="10"/>
      <c r="H18" s="11">
        <v>25</v>
      </c>
      <c r="I18" s="11">
        <v>61</v>
      </c>
      <c r="J18" s="11">
        <v>27</v>
      </c>
      <c r="K18" s="12"/>
      <c r="L18" s="13" t="s">
        <v>202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</row>
    <row r="19" s="3" customFormat="1" ht="18" customHeight="1" spans="1:45">
      <c r="A19" s="2"/>
      <c r="B19" s="14"/>
      <c r="C19" s="14"/>
      <c r="D19" s="14"/>
      <c r="E19" s="14"/>
      <c r="F19" s="14"/>
      <c r="G19" s="14"/>
      <c r="H19" s="15"/>
      <c r="I19" s="15"/>
      <c r="J19" s="15"/>
      <c r="K19" s="16"/>
      <c r="L19" s="17" t="s">
        <v>203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="2" customFormat="1" ht="18" customHeight="1" spans="1:45">
      <c r="B20" s="10" t="s">
        <v>144</v>
      </c>
      <c r="C20" s="10" t="s">
        <v>145</v>
      </c>
      <c r="D20" s="10" t="s">
        <v>61</v>
      </c>
      <c r="E20" s="10" t="s">
        <v>142</v>
      </c>
      <c r="F20" s="10"/>
      <c r="G20" s="10"/>
      <c r="H20" s="11">
        <v>97</v>
      </c>
      <c r="I20" s="11">
        <v>68</v>
      </c>
      <c r="J20" s="11">
        <v>27</v>
      </c>
      <c r="K20" s="12"/>
      <c r="L20" s="13" t="s">
        <v>202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</row>
    <row r="21" s="3" customFormat="1" ht="18" customHeight="1" spans="1:45">
      <c r="A21" s="2"/>
      <c r="B21" s="14"/>
      <c r="C21" s="14"/>
      <c r="D21" s="14"/>
      <c r="E21" s="14"/>
      <c r="F21" s="14"/>
      <c r="G21" s="14"/>
      <c r="H21" s="15"/>
      <c r="I21" s="15"/>
      <c r="J21" s="15"/>
      <c r="K21" s="16"/>
      <c r="L21" s="17" t="s">
        <v>203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</row>
    <row r="22" s="2" customFormat="1" ht="18" customHeight="1" spans="1:45">
      <c r="B22" s="10" t="s">
        <v>147</v>
      </c>
      <c r="C22" s="10" t="s">
        <v>148</v>
      </c>
      <c r="D22" s="10" t="s">
        <v>61</v>
      </c>
      <c r="E22" s="10" t="s">
        <v>149</v>
      </c>
      <c r="F22" s="10"/>
      <c r="G22" s="10"/>
      <c r="H22" s="11">
        <v>33</v>
      </c>
      <c r="I22" s="11">
        <v>32</v>
      </c>
      <c r="J22" s="11">
        <v>27</v>
      </c>
      <c r="K22" s="12"/>
      <c r="L22" s="13" t="s">
        <v>202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="3" customFormat="1" ht="18" customHeight="1" spans="1:45">
      <c r="A23" s="2"/>
      <c r="B23" s="14"/>
      <c r="C23" s="14"/>
      <c r="D23" s="14"/>
      <c r="E23" s="14"/>
      <c r="F23" s="14"/>
      <c r="G23" s="14"/>
      <c r="H23" s="15"/>
      <c r="I23" s="15"/>
      <c r="J23" s="15"/>
      <c r="K23" s="16"/>
      <c r="L23" s="17" t="s">
        <v>203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</row>
    <row r="24" s="2" customFormat="1" ht="18" customHeight="1" spans="1:45">
      <c r="B24" s="10" t="s">
        <v>151</v>
      </c>
      <c r="C24" s="10" t="s">
        <v>152</v>
      </c>
      <c r="D24" s="10" t="s">
        <v>61</v>
      </c>
      <c r="E24" s="10" t="s">
        <v>81</v>
      </c>
      <c r="F24" s="10"/>
      <c r="G24" s="10"/>
      <c r="H24" s="11">
        <v>23</v>
      </c>
      <c r="I24" s="11">
        <v>48</v>
      </c>
      <c r="J24" s="11">
        <v>108</v>
      </c>
      <c r="K24" s="12"/>
      <c r="L24" s="13" t="s">
        <v>202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</row>
    <row r="25" s="3" customFormat="1" ht="18" customHeight="1" spans="1:45">
      <c r="A25" s="2"/>
      <c r="B25" s="14"/>
      <c r="C25" s="14"/>
      <c r="D25" s="14"/>
      <c r="E25" s="14"/>
      <c r="F25" s="14"/>
      <c r="G25" s="14"/>
      <c r="H25" s="15"/>
      <c r="I25" s="15"/>
      <c r="J25" s="15"/>
      <c r="K25" s="16"/>
      <c r="L25" s="17" t="s">
        <v>203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</row>
    <row r="26" s="2" customFormat="1" ht="18" customHeight="1" spans="1:45">
      <c r="B26" s="10" t="s">
        <v>133</v>
      </c>
      <c r="C26" s="10" t="s">
        <v>134</v>
      </c>
      <c r="D26" s="10" t="s">
        <v>61</v>
      </c>
      <c r="E26" s="10" t="s">
        <v>135</v>
      </c>
      <c r="F26" s="10"/>
      <c r="G26" s="10"/>
      <c r="H26" s="11">
        <v>53</v>
      </c>
      <c r="I26" s="11">
        <v>40</v>
      </c>
      <c r="J26" s="11">
        <v>17</v>
      </c>
      <c r="K26" s="12"/>
      <c r="L26" s="13" t="s">
        <v>202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="3" customFormat="1" ht="18" customHeight="1" spans="1:45">
      <c r="A27" s="2"/>
      <c r="B27" s="14"/>
      <c r="C27" s="14"/>
      <c r="D27" s="14"/>
      <c r="E27" s="14"/>
      <c r="F27" s="14"/>
      <c r="G27" s="14"/>
      <c r="H27" s="15"/>
      <c r="I27" s="15"/>
      <c r="J27" s="15"/>
      <c r="K27" s="16"/>
      <c r="L27" s="17" t="s">
        <v>203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</row>
    <row r="28" s="2" customFormat="1" ht="18" customHeight="1" spans="1:45">
      <c r="B28" s="10" t="s">
        <v>71</v>
      </c>
      <c r="C28" s="10" t="s">
        <v>137</v>
      </c>
      <c r="D28" s="10" t="s">
        <v>73</v>
      </c>
      <c r="E28" s="10" t="s">
        <v>138</v>
      </c>
      <c r="F28" s="10"/>
      <c r="G28" s="10"/>
      <c r="H28" s="11">
        <v>101</v>
      </c>
      <c r="I28" s="11">
        <v>92</v>
      </c>
      <c r="J28" s="11">
        <v>59.5</v>
      </c>
      <c r="K28" s="12"/>
      <c r="L28" s="13" t="s">
        <v>202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</row>
    <row r="29" s="3" customFormat="1" ht="18" customHeight="1" spans="1:45">
      <c r="A29" s="2"/>
      <c r="B29" s="14"/>
      <c r="C29" s="14"/>
      <c r="D29" s="14"/>
      <c r="E29" s="14"/>
      <c r="F29" s="14"/>
      <c r="G29" s="14"/>
      <c r="H29" s="15"/>
      <c r="I29" s="15"/>
      <c r="J29" s="15"/>
      <c r="K29" s="16"/>
      <c r="L29" s="17" t="s">
        <v>203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</row>
    <row r="30" s="2" customFormat="1" ht="18" customHeight="1" spans="1:45">
      <c r="B30" s="10" t="s">
        <v>140</v>
      </c>
      <c r="C30" s="10" t="s">
        <v>141</v>
      </c>
      <c r="D30" s="10" t="s">
        <v>61</v>
      </c>
      <c r="E30" s="10" t="s">
        <v>142</v>
      </c>
      <c r="F30" s="10"/>
      <c r="G30" s="10"/>
      <c r="H30" s="11">
        <v>91</v>
      </c>
      <c r="I30" s="11">
        <v>70</v>
      </c>
      <c r="J30" s="11">
        <v>17</v>
      </c>
      <c r="K30" s="12"/>
      <c r="L30" s="13" t="s">
        <v>202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="3" customFormat="1" ht="18" customHeight="1" spans="1:45">
      <c r="A31" s="2"/>
      <c r="B31" s="14"/>
      <c r="C31" s="14"/>
      <c r="D31" s="14"/>
      <c r="E31" s="14"/>
      <c r="F31" s="14"/>
      <c r="G31" s="14"/>
      <c r="H31" s="15"/>
      <c r="I31" s="15"/>
      <c r="J31" s="15"/>
      <c r="K31" s="16"/>
      <c r="L31" s="17" t="s">
        <v>203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</row>
    <row r="32" s="2" customFormat="1" ht="18" customHeight="1" spans="1:45">
      <c r="B32" s="10" t="s">
        <v>144</v>
      </c>
      <c r="C32" s="10" t="s">
        <v>145</v>
      </c>
      <c r="D32" s="10" t="s">
        <v>61</v>
      </c>
      <c r="E32" s="10" t="s">
        <v>142</v>
      </c>
      <c r="F32" s="10"/>
      <c r="G32" s="10"/>
      <c r="H32" s="11">
        <v>51</v>
      </c>
      <c r="I32" s="11">
        <v>58</v>
      </c>
      <c r="J32" s="11">
        <v>17</v>
      </c>
      <c r="K32" s="12"/>
      <c r="L32" s="13" t="s">
        <v>202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</row>
    <row r="33" s="3" customFormat="1" ht="18" customHeight="1" spans="1:45">
      <c r="A33" s="2"/>
      <c r="B33" s="14"/>
      <c r="C33" s="14"/>
      <c r="D33" s="14"/>
      <c r="E33" s="14"/>
      <c r="F33" s="14"/>
      <c r="G33" s="14"/>
      <c r="H33" s="15"/>
      <c r="I33" s="15"/>
      <c r="J33" s="15"/>
      <c r="K33" s="16"/>
      <c r="L33" s="17" t="s">
        <v>203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</row>
    <row r="34" s="4" customFormat="1" ht="18" customHeight="1" spans="1:45">
      <c r="B34" s="10" t="s">
        <v>147</v>
      </c>
      <c r="C34" s="10" t="s">
        <v>148</v>
      </c>
      <c r="D34" s="10" t="s">
        <v>61</v>
      </c>
      <c r="E34" s="10" t="s">
        <v>149</v>
      </c>
      <c r="F34" s="10"/>
      <c r="G34" s="10"/>
      <c r="H34" s="11">
        <v>13</v>
      </c>
      <c r="I34" s="11">
        <v>35</v>
      </c>
      <c r="J34" s="11">
        <v>17</v>
      </c>
      <c r="K34" s="18"/>
      <c r="L34" s="19" t="s">
        <v>202</v>
      </c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</row>
    <row r="35" s="4" customFormat="1" ht="18" customHeight="1" spans="1:45">
      <c r="B35" s="14"/>
      <c r="C35" s="14"/>
      <c r="D35" s="14"/>
      <c r="E35" s="14"/>
      <c r="F35" s="14"/>
      <c r="G35" s="14"/>
      <c r="H35" s="15"/>
      <c r="I35" s="15"/>
      <c r="J35" s="15"/>
      <c r="K35" s="20"/>
      <c r="L35" s="19" t="s">
        <v>203</v>
      </c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</row>
    <row r="36" s="4" customFormat="1" ht="18" customHeight="1" spans="1:45">
      <c r="B36" s="10" t="s">
        <v>151</v>
      </c>
      <c r="C36" s="10" t="s">
        <v>152</v>
      </c>
      <c r="D36" s="10" t="s">
        <v>61</v>
      </c>
      <c r="E36" s="10" t="s">
        <v>81</v>
      </c>
      <c r="F36" s="10"/>
      <c r="G36" s="10"/>
      <c r="H36" s="11">
        <v>38</v>
      </c>
      <c r="I36" s="11">
        <v>47</v>
      </c>
      <c r="J36" s="11">
        <v>68</v>
      </c>
      <c r="K36" s="18"/>
      <c r="L36" s="19" t="s">
        <v>202</v>
      </c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</row>
    <row r="37" s="4" customFormat="1" ht="18" customHeight="1" spans="1:45">
      <c r="B37" s="14"/>
      <c r="C37" s="14"/>
      <c r="D37" s="14"/>
      <c r="E37" s="14"/>
      <c r="F37" s="14"/>
      <c r="G37" s="14"/>
      <c r="H37" s="15"/>
      <c r="I37" s="15"/>
      <c r="J37" s="15"/>
      <c r="K37" s="20"/>
      <c r="L37" s="19" t="s">
        <v>203</v>
      </c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</row>
    <row r="38" s="4" customFormat="1" ht="18" customHeight="1" spans="1:45">
      <c r="B38" s="10" t="s">
        <v>133</v>
      </c>
      <c r="C38" s="10" t="s">
        <v>134</v>
      </c>
      <c r="D38" s="10" t="s">
        <v>61</v>
      </c>
      <c r="E38" s="10" t="s">
        <v>135</v>
      </c>
      <c r="F38" s="10"/>
      <c r="G38" s="10"/>
      <c r="H38" s="11">
        <v>17</v>
      </c>
      <c r="I38" s="11">
        <v>37</v>
      </c>
      <c r="J38" s="11">
        <v>16</v>
      </c>
      <c r="K38" s="18"/>
      <c r="L38" s="19" t="s">
        <v>202</v>
      </c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</row>
    <row r="39" s="4" customFormat="1" ht="18" customHeight="1" spans="1:45">
      <c r="B39" s="14"/>
      <c r="C39" s="14"/>
      <c r="D39" s="14"/>
      <c r="E39" s="14"/>
      <c r="F39" s="14"/>
      <c r="G39" s="14"/>
      <c r="H39" s="15"/>
      <c r="I39" s="15"/>
      <c r="J39" s="15"/>
      <c r="K39" s="20"/>
      <c r="L39" s="19" t="s">
        <v>203</v>
      </c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</row>
    <row r="40" s="4" customFormat="1" ht="18" customHeight="1" spans="1:45">
      <c r="B40" s="10" t="s">
        <v>71</v>
      </c>
      <c r="C40" s="10" t="s">
        <v>137</v>
      </c>
      <c r="D40" s="10" t="s">
        <v>73</v>
      </c>
      <c r="E40" s="10" t="s">
        <v>138</v>
      </c>
      <c r="F40" s="10"/>
      <c r="G40" s="10"/>
      <c r="H40" s="11">
        <v>39</v>
      </c>
      <c r="I40" s="11">
        <v>93</v>
      </c>
      <c r="J40" s="11">
        <v>56</v>
      </c>
      <c r="K40" s="18"/>
      <c r="L40" s="19" t="s">
        <v>202</v>
      </c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</row>
    <row r="41" s="4" customFormat="1" ht="18" customHeight="1" spans="1:45">
      <c r="B41" s="14"/>
      <c r="C41" s="14"/>
      <c r="D41" s="14"/>
      <c r="E41" s="14"/>
      <c r="F41" s="14"/>
      <c r="G41" s="14"/>
      <c r="H41" s="15"/>
      <c r="I41" s="15"/>
      <c r="J41" s="15"/>
      <c r="K41" s="20"/>
      <c r="L41" s="19" t="s">
        <v>203</v>
      </c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</row>
    <row r="42" s="4" customFormat="1" ht="18" customHeight="1" spans="1:45">
      <c r="B42" s="10" t="s">
        <v>140</v>
      </c>
      <c r="C42" s="10" t="s">
        <v>141</v>
      </c>
      <c r="D42" s="10" t="s">
        <v>61</v>
      </c>
      <c r="E42" s="10" t="s">
        <v>142</v>
      </c>
      <c r="F42" s="10"/>
      <c r="G42" s="10"/>
      <c r="H42" s="11">
        <v>34</v>
      </c>
      <c r="I42" s="11">
        <v>73</v>
      </c>
      <c r="J42" s="11">
        <v>16</v>
      </c>
      <c r="K42" s="18"/>
      <c r="L42" s="19" t="s">
        <v>202</v>
      </c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</row>
    <row r="43" s="4" customFormat="1" ht="18" customHeight="1" spans="1:45">
      <c r="B43" s="14"/>
      <c r="C43" s="14"/>
      <c r="D43" s="14"/>
      <c r="E43" s="14"/>
      <c r="F43" s="14"/>
      <c r="G43" s="14"/>
      <c r="H43" s="15"/>
      <c r="I43" s="15"/>
      <c r="J43" s="15"/>
      <c r="K43" s="20"/>
      <c r="L43" s="19" t="s">
        <v>203</v>
      </c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</row>
    <row r="44" s="4" customFormat="1" ht="18" customHeight="1" spans="1:45">
      <c r="B44" s="10" t="s">
        <v>144</v>
      </c>
      <c r="C44" s="10" t="s">
        <v>145</v>
      </c>
      <c r="D44" s="10" t="s">
        <v>61</v>
      </c>
      <c r="E44" s="10" t="s">
        <v>142</v>
      </c>
      <c r="F44" s="10"/>
      <c r="G44" s="10"/>
      <c r="H44" s="11">
        <v>71</v>
      </c>
      <c r="I44" s="11">
        <v>54</v>
      </c>
      <c r="J44" s="11">
        <v>16</v>
      </c>
      <c r="K44" s="18"/>
      <c r="L44" s="19" t="s">
        <v>202</v>
      </c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</row>
    <row r="45" s="4" customFormat="1" ht="18" customHeight="1" spans="1:45">
      <c r="B45" s="14"/>
      <c r="C45" s="14"/>
      <c r="D45" s="14"/>
      <c r="E45" s="14"/>
      <c r="F45" s="14"/>
      <c r="G45" s="14"/>
      <c r="H45" s="15"/>
      <c r="I45" s="15"/>
      <c r="J45" s="15"/>
      <c r="K45" s="20"/>
      <c r="L45" s="19" t="s">
        <v>203</v>
      </c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</row>
    <row r="46" s="4" customFormat="1" ht="18" customHeight="1" spans="1:45">
      <c r="B46" s="10" t="s">
        <v>147</v>
      </c>
      <c r="C46" s="10" t="s">
        <v>148</v>
      </c>
      <c r="D46" s="10" t="s">
        <v>61</v>
      </c>
      <c r="E46" s="10" t="s">
        <v>149</v>
      </c>
      <c r="F46" s="10"/>
      <c r="G46" s="10"/>
      <c r="H46" s="11">
        <v>23</v>
      </c>
      <c r="I46" s="11">
        <v>27</v>
      </c>
      <c r="J46" s="11">
        <v>16</v>
      </c>
      <c r="K46" s="18"/>
      <c r="L46" s="19" t="s">
        <v>202</v>
      </c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</row>
    <row r="47" s="4" customFormat="1" ht="18" customHeight="1" spans="1:45">
      <c r="B47" s="14"/>
      <c r="C47" s="14"/>
      <c r="D47" s="14"/>
      <c r="E47" s="14"/>
      <c r="F47" s="14"/>
      <c r="G47" s="14"/>
      <c r="H47" s="15"/>
      <c r="I47" s="15"/>
      <c r="J47" s="15"/>
      <c r="K47" s="20"/>
      <c r="L47" s="19" t="s">
        <v>203</v>
      </c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</row>
    <row r="48" s="4" customFormat="1" ht="18" customHeight="1" spans="1:45">
      <c r="B48" s="10" t="s">
        <v>151</v>
      </c>
      <c r="C48" s="10" t="s">
        <v>152</v>
      </c>
      <c r="D48" s="10" t="s">
        <v>61</v>
      </c>
      <c r="E48" s="10" t="s">
        <v>81</v>
      </c>
      <c r="F48" s="10"/>
      <c r="G48" s="10"/>
      <c r="H48" s="11">
        <v>88</v>
      </c>
      <c r="I48" s="11">
        <v>69</v>
      </c>
      <c r="J48" s="11">
        <v>64</v>
      </c>
      <c r="K48" s="18"/>
      <c r="L48" s="19" t="s">
        <v>202</v>
      </c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</row>
    <row r="49" s="4" customFormat="1" ht="18" customHeight="1" spans="2:45">
      <c r="B49" s="14"/>
      <c r="C49" s="14"/>
      <c r="D49" s="14"/>
      <c r="E49" s="14"/>
      <c r="F49" s="14"/>
      <c r="G49" s="14"/>
      <c r="H49" s="15"/>
      <c r="I49" s="15"/>
      <c r="J49" s="15"/>
      <c r="K49" s="20"/>
      <c r="L49" s="19" t="s">
        <v>203</v>
      </c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</row>
    <row r="50" s="4" customFormat="1" ht="18" customHeight="1" spans="2:45">
      <c r="B50" s="10" t="s">
        <v>133</v>
      </c>
      <c r="C50" s="10" t="s">
        <v>134</v>
      </c>
      <c r="D50" s="10" t="s">
        <v>61</v>
      </c>
      <c r="E50" s="10" t="s">
        <v>135</v>
      </c>
      <c r="F50" s="10"/>
      <c r="G50" s="10"/>
      <c r="H50" s="11">
        <v>25</v>
      </c>
      <c r="I50" s="11">
        <v>48</v>
      </c>
      <c r="J50" s="11">
        <v>31</v>
      </c>
      <c r="K50" s="18"/>
      <c r="L50" s="19" t="s">
        <v>202</v>
      </c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</row>
    <row r="51" s="4" customFormat="1" ht="18" customHeight="1" spans="2:45">
      <c r="B51" s="14"/>
      <c r="C51" s="14"/>
      <c r="D51" s="14"/>
      <c r="E51" s="14"/>
      <c r="F51" s="14"/>
      <c r="G51" s="14"/>
      <c r="H51" s="15"/>
      <c r="I51" s="15"/>
      <c r="J51" s="15"/>
      <c r="K51" s="20"/>
      <c r="L51" s="19" t="s">
        <v>203</v>
      </c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</row>
    <row r="52" s="4" customFormat="1" ht="18" customHeight="1" spans="2:45">
      <c r="B52" s="10" t="s">
        <v>71</v>
      </c>
      <c r="C52" s="10" t="s">
        <v>137</v>
      </c>
      <c r="D52" s="10" t="s">
        <v>73</v>
      </c>
      <c r="E52" s="10" t="s">
        <v>138</v>
      </c>
      <c r="F52" s="10"/>
      <c r="G52" s="10"/>
      <c r="H52" s="11">
        <v>39</v>
      </c>
      <c r="I52" s="11">
        <v>94</v>
      </c>
      <c r="J52" s="11">
        <v>108.5</v>
      </c>
      <c r="K52" s="18"/>
      <c r="L52" s="19" t="s">
        <v>202</v>
      </c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</row>
    <row r="53" spans="2:45">
      <c r="B53" s="14"/>
      <c r="C53" s="14"/>
      <c r="D53" s="14"/>
      <c r="E53" s="14"/>
      <c r="F53" s="14"/>
      <c r="G53" s="14"/>
      <c r="H53" s="15"/>
      <c r="I53" s="15"/>
      <c r="J53" s="15"/>
      <c r="K53" s="20"/>
      <c r="L53" s="19" t="s">
        <v>203</v>
      </c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</row>
    <row r="54" spans="2:45">
      <c r="B54" s="10" t="s">
        <v>140</v>
      </c>
      <c r="C54" s="10" t="s">
        <v>141</v>
      </c>
      <c r="D54" s="10" t="s">
        <v>61</v>
      </c>
      <c r="E54" s="10" t="s">
        <v>142</v>
      </c>
      <c r="F54" s="10"/>
      <c r="G54" s="10"/>
      <c r="H54" s="11">
        <v>75</v>
      </c>
      <c r="I54" s="11">
        <v>57</v>
      </c>
      <c r="J54" s="11">
        <v>31</v>
      </c>
      <c r="K54" s="18"/>
      <c r="L54" s="19" t="s">
        <v>202</v>
      </c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</row>
    <row r="55" spans="2:45">
      <c r="B55" s="14"/>
      <c r="C55" s="14"/>
      <c r="D55" s="14"/>
      <c r="E55" s="14"/>
      <c r="F55" s="14"/>
      <c r="G55" s="14"/>
      <c r="H55" s="15"/>
      <c r="I55" s="15"/>
      <c r="J55" s="15"/>
      <c r="K55" s="20"/>
      <c r="L55" s="19" t="s">
        <v>203</v>
      </c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</row>
    <row r="56" spans="2:45">
      <c r="B56" s="10" t="s">
        <v>144</v>
      </c>
      <c r="C56" s="10" t="s">
        <v>145</v>
      </c>
      <c r="D56" s="10" t="s">
        <v>61</v>
      </c>
      <c r="E56" s="10" t="s">
        <v>142</v>
      </c>
      <c r="F56" s="10"/>
      <c r="G56" s="10"/>
      <c r="H56" s="11">
        <v>22</v>
      </c>
      <c r="I56" s="11">
        <v>69</v>
      </c>
      <c r="J56" s="11">
        <v>31</v>
      </c>
      <c r="K56" s="18"/>
      <c r="L56" s="19" t="s">
        <v>202</v>
      </c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</row>
    <row r="57" spans="2:45">
      <c r="B57" s="14"/>
      <c r="C57" s="14"/>
      <c r="D57" s="14"/>
      <c r="E57" s="14"/>
      <c r="F57" s="14"/>
      <c r="G57" s="14"/>
      <c r="H57" s="15"/>
      <c r="I57" s="15"/>
      <c r="J57" s="15"/>
      <c r="K57" s="20"/>
      <c r="L57" s="19" t="s">
        <v>203</v>
      </c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</row>
    <row r="58" spans="2:45">
      <c r="B58" s="10" t="s">
        <v>147</v>
      </c>
      <c r="C58" s="10" t="s">
        <v>148</v>
      </c>
      <c r="D58" s="10" t="s">
        <v>61</v>
      </c>
      <c r="E58" s="10" t="s">
        <v>149</v>
      </c>
      <c r="F58" s="10"/>
      <c r="G58" s="10"/>
      <c r="H58" s="11">
        <v>36</v>
      </c>
      <c r="I58" s="11">
        <v>33</v>
      </c>
      <c r="J58" s="11">
        <v>31</v>
      </c>
      <c r="K58" s="18"/>
      <c r="L58" s="19" t="s">
        <v>202</v>
      </c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</row>
    <row r="59" spans="2:45">
      <c r="B59" s="14"/>
      <c r="C59" s="14"/>
      <c r="D59" s="14"/>
      <c r="E59" s="14"/>
      <c r="F59" s="14"/>
      <c r="G59" s="14"/>
      <c r="H59" s="15"/>
      <c r="I59" s="15"/>
      <c r="J59" s="15"/>
      <c r="K59" s="20"/>
      <c r="L59" s="19" t="s">
        <v>203</v>
      </c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</row>
    <row r="60" spans="2:45">
      <c r="B60" s="10" t="s">
        <v>151</v>
      </c>
      <c r="C60" s="10" t="s">
        <v>152</v>
      </c>
      <c r="D60" s="10" t="s">
        <v>61</v>
      </c>
      <c r="E60" s="10" t="s">
        <v>81</v>
      </c>
      <c r="F60" s="10"/>
      <c r="G60" s="10"/>
      <c r="H60" s="11">
        <v>76</v>
      </c>
      <c r="I60" s="11">
        <v>56</v>
      </c>
      <c r="J60" s="11">
        <v>124</v>
      </c>
      <c r="K60" s="18"/>
      <c r="L60" s="19" t="s">
        <v>202</v>
      </c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</row>
    <row r="61" spans="2:45">
      <c r="B61" s="14"/>
      <c r="C61" s="14"/>
      <c r="D61" s="14"/>
      <c r="E61" s="14"/>
      <c r="F61" s="14"/>
      <c r="G61" s="14"/>
      <c r="H61" s="15"/>
      <c r="I61" s="15"/>
      <c r="J61" s="15"/>
      <c r="K61" s="20"/>
      <c r="L61" s="19" t="s">
        <v>203</v>
      </c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</row>
    <row r="62" spans="2:45">
      <c r="B62" s="10" t="s">
        <v>133</v>
      </c>
      <c r="C62" s="10" t="s">
        <v>134</v>
      </c>
      <c r="D62" s="10" t="s">
        <v>61</v>
      </c>
      <c r="E62" s="10" t="s">
        <v>135</v>
      </c>
      <c r="F62" s="10"/>
      <c r="G62" s="10"/>
      <c r="H62" s="11">
        <v>10</v>
      </c>
      <c r="I62" s="11">
        <v>32</v>
      </c>
      <c r="J62" s="11">
        <v>22</v>
      </c>
      <c r="K62" s="18"/>
      <c r="L62" s="19" t="s">
        <v>202</v>
      </c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</row>
    <row r="63" spans="2:45">
      <c r="B63" s="14"/>
      <c r="C63" s="14"/>
      <c r="D63" s="14"/>
      <c r="E63" s="14"/>
      <c r="F63" s="14"/>
      <c r="G63" s="14"/>
      <c r="H63" s="15"/>
      <c r="I63" s="15"/>
      <c r="J63" s="15"/>
      <c r="K63" s="20"/>
      <c r="L63" s="19" t="s">
        <v>203</v>
      </c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</row>
    <row r="64" spans="2:45">
      <c r="B64" s="10" t="s">
        <v>71</v>
      </c>
      <c r="C64" s="10" t="s">
        <v>137</v>
      </c>
      <c r="D64" s="10" t="s">
        <v>73</v>
      </c>
      <c r="E64" s="10" t="s">
        <v>138</v>
      </c>
      <c r="F64" s="10"/>
      <c r="G64" s="10"/>
      <c r="H64" s="11">
        <v>109</v>
      </c>
      <c r="I64" s="11">
        <v>87</v>
      </c>
      <c r="J64" s="11">
        <v>77</v>
      </c>
      <c r="K64" s="18"/>
      <c r="L64" s="19" t="s">
        <v>202</v>
      </c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</row>
    <row r="65" spans="2:45">
      <c r="B65" s="14"/>
      <c r="C65" s="14"/>
      <c r="D65" s="14"/>
      <c r="E65" s="14"/>
      <c r="F65" s="14"/>
      <c r="G65" s="14"/>
      <c r="H65" s="15"/>
      <c r="I65" s="15"/>
      <c r="J65" s="15"/>
      <c r="K65" s="20"/>
      <c r="L65" s="19" t="s">
        <v>203</v>
      </c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</row>
    <row r="66" spans="2:45">
      <c r="B66" s="10" t="s">
        <v>140</v>
      </c>
      <c r="C66" s="10" t="s">
        <v>141</v>
      </c>
      <c r="D66" s="10" t="s">
        <v>61</v>
      </c>
      <c r="E66" s="10" t="s">
        <v>142</v>
      </c>
      <c r="F66" s="10"/>
      <c r="G66" s="10"/>
      <c r="H66" s="11">
        <v>56</v>
      </c>
      <c r="I66" s="11">
        <v>49</v>
      </c>
      <c r="J66" s="11">
        <v>22</v>
      </c>
      <c r="K66" s="18"/>
      <c r="L66" s="19" t="s">
        <v>202</v>
      </c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</row>
    <row r="67" spans="2:45">
      <c r="B67" s="14"/>
      <c r="C67" s="14"/>
      <c r="D67" s="14"/>
      <c r="E67" s="14"/>
      <c r="F67" s="14"/>
      <c r="G67" s="14"/>
      <c r="H67" s="15"/>
      <c r="I67" s="15"/>
      <c r="J67" s="15"/>
      <c r="K67" s="20"/>
      <c r="L67" s="19" t="s">
        <v>203</v>
      </c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</row>
    <row r="68" spans="2:45">
      <c r="B68" s="10" t="s">
        <v>144</v>
      </c>
      <c r="C68" s="10" t="s">
        <v>145</v>
      </c>
      <c r="D68" s="10" t="s">
        <v>61</v>
      </c>
      <c r="E68" s="10" t="s">
        <v>142</v>
      </c>
      <c r="F68" s="10"/>
      <c r="G68" s="10"/>
      <c r="H68" s="11">
        <v>22</v>
      </c>
      <c r="I68" s="11">
        <v>40</v>
      </c>
      <c r="J68" s="11">
        <v>22</v>
      </c>
      <c r="K68" s="18"/>
      <c r="L68" s="19" t="s">
        <v>202</v>
      </c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</row>
    <row r="69" spans="2:45">
      <c r="B69" s="14"/>
      <c r="C69" s="14"/>
      <c r="D69" s="14"/>
      <c r="E69" s="14"/>
      <c r="F69" s="14"/>
      <c r="G69" s="14"/>
      <c r="H69" s="15"/>
      <c r="I69" s="15"/>
      <c r="J69" s="15"/>
      <c r="K69" s="20"/>
      <c r="L69" s="19" t="s">
        <v>203</v>
      </c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</row>
    <row r="70" spans="2:45">
      <c r="B70" s="10" t="s">
        <v>147</v>
      </c>
      <c r="C70" s="10" t="s">
        <v>148</v>
      </c>
      <c r="D70" s="10" t="s">
        <v>61</v>
      </c>
      <c r="E70" s="10" t="s">
        <v>149</v>
      </c>
      <c r="F70" s="10"/>
      <c r="G70" s="10"/>
      <c r="H70" s="11">
        <v>44</v>
      </c>
      <c r="I70" s="11">
        <v>33</v>
      </c>
      <c r="J70" s="11">
        <v>22</v>
      </c>
      <c r="K70" s="18"/>
      <c r="L70" s="19" t="s">
        <v>202</v>
      </c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</row>
    <row r="71" spans="2:45">
      <c r="B71" s="14"/>
      <c r="C71" s="14"/>
      <c r="D71" s="14"/>
      <c r="E71" s="14"/>
      <c r="F71" s="14"/>
      <c r="G71" s="14"/>
      <c r="H71" s="15"/>
      <c r="I71" s="15"/>
      <c r="J71" s="15"/>
      <c r="K71" s="20"/>
      <c r="L71" s="19" t="s">
        <v>203</v>
      </c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</row>
    <row r="72" spans="2:45">
      <c r="B72" s="10" t="s">
        <v>151</v>
      </c>
      <c r="C72" s="10" t="s">
        <v>152</v>
      </c>
      <c r="D72" s="10" t="s">
        <v>61</v>
      </c>
      <c r="E72" s="10" t="s">
        <v>81</v>
      </c>
      <c r="F72" s="10"/>
      <c r="G72" s="10"/>
      <c r="H72" s="11">
        <v>56</v>
      </c>
      <c r="I72" s="11">
        <v>40</v>
      </c>
      <c r="J72" s="11">
        <v>88</v>
      </c>
      <c r="K72" s="18"/>
      <c r="L72" s="19" t="s">
        <v>202</v>
      </c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</row>
    <row r="73" spans="2:45">
      <c r="B73" s="14"/>
      <c r="C73" s="14"/>
      <c r="D73" s="14"/>
      <c r="E73" s="14"/>
      <c r="F73" s="14"/>
      <c r="G73" s="14"/>
      <c r="H73" s="15"/>
      <c r="I73" s="15"/>
      <c r="J73" s="15"/>
      <c r="K73" s="20"/>
      <c r="L73" s="19" t="s">
        <v>203</v>
      </c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</row>
    <row r="74" spans="2:45">
      <c r="B74" s="10" t="s">
        <v>133</v>
      </c>
      <c r="C74" s="10" t="s">
        <v>134</v>
      </c>
      <c r="D74" s="10" t="s">
        <v>61</v>
      </c>
      <c r="E74" s="10" t="s">
        <v>135</v>
      </c>
      <c r="F74" s="10"/>
      <c r="G74" s="10"/>
      <c r="H74" s="11">
        <v>55</v>
      </c>
      <c r="I74" s="11">
        <v>46</v>
      </c>
      <c r="J74" s="11">
        <v>19</v>
      </c>
      <c r="K74" s="18"/>
      <c r="L74" s="19" t="s">
        <v>202</v>
      </c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</row>
    <row r="75" spans="2:45">
      <c r="B75" s="14"/>
      <c r="C75" s="14"/>
      <c r="D75" s="14"/>
      <c r="E75" s="14"/>
      <c r="F75" s="14"/>
      <c r="G75" s="14"/>
      <c r="H75" s="15"/>
      <c r="I75" s="15"/>
      <c r="J75" s="15"/>
      <c r="K75" s="20"/>
      <c r="L75" s="19" t="s">
        <v>203</v>
      </c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</row>
    <row r="76" spans="2:45">
      <c r="B76" s="10" t="s">
        <v>71</v>
      </c>
      <c r="C76" s="10" t="s">
        <v>137</v>
      </c>
      <c r="D76" s="10" t="s">
        <v>73</v>
      </c>
      <c r="E76" s="10" t="s">
        <v>138</v>
      </c>
      <c r="F76" s="10"/>
      <c r="G76" s="10"/>
      <c r="H76" s="11">
        <v>102</v>
      </c>
      <c r="I76" s="11">
        <v>91</v>
      </c>
      <c r="J76" s="11">
        <v>66.5</v>
      </c>
      <c r="K76" s="18"/>
      <c r="L76" s="19" t="s">
        <v>202</v>
      </c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</row>
    <row r="77" spans="2:45">
      <c r="B77" s="14"/>
      <c r="C77" s="14"/>
      <c r="D77" s="14"/>
      <c r="E77" s="14"/>
      <c r="F77" s="14"/>
      <c r="G77" s="14"/>
      <c r="H77" s="15"/>
      <c r="I77" s="15"/>
      <c r="J77" s="15"/>
      <c r="K77" s="20"/>
      <c r="L77" s="19" t="s">
        <v>203</v>
      </c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</row>
    <row r="78" spans="2:45">
      <c r="B78" s="10" t="s">
        <v>140</v>
      </c>
      <c r="C78" s="10" t="s">
        <v>141</v>
      </c>
      <c r="D78" s="10" t="s">
        <v>61</v>
      </c>
      <c r="E78" s="10" t="s">
        <v>142</v>
      </c>
      <c r="F78" s="10"/>
      <c r="G78" s="10"/>
      <c r="H78" s="11">
        <v>107</v>
      </c>
      <c r="I78" s="11">
        <v>75</v>
      </c>
      <c r="J78" s="11">
        <v>19</v>
      </c>
      <c r="K78" s="18"/>
      <c r="L78" s="19" t="s">
        <v>202</v>
      </c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</row>
    <row r="79" spans="2:45">
      <c r="B79" s="14"/>
      <c r="C79" s="14"/>
      <c r="D79" s="14"/>
      <c r="E79" s="14"/>
      <c r="F79" s="14"/>
      <c r="G79" s="14"/>
      <c r="H79" s="15"/>
      <c r="I79" s="15"/>
      <c r="J79" s="15"/>
      <c r="K79" s="20"/>
      <c r="L79" s="19" t="s">
        <v>203</v>
      </c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</row>
    <row r="80" spans="2:45">
      <c r="B80" s="10" t="s">
        <v>144</v>
      </c>
      <c r="C80" s="10" t="s">
        <v>145</v>
      </c>
      <c r="D80" s="10" t="s">
        <v>61</v>
      </c>
      <c r="E80" s="10" t="s">
        <v>142</v>
      </c>
      <c r="F80" s="10"/>
      <c r="G80" s="10"/>
      <c r="H80" s="11">
        <v>21</v>
      </c>
      <c r="I80" s="11">
        <v>59</v>
      </c>
      <c r="J80" s="11">
        <v>19</v>
      </c>
      <c r="K80" s="18"/>
      <c r="L80" s="19" t="s">
        <v>202</v>
      </c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</row>
    <row r="81" spans="2:45">
      <c r="B81" s="14"/>
      <c r="C81" s="14"/>
      <c r="D81" s="14"/>
      <c r="E81" s="14"/>
      <c r="F81" s="14"/>
      <c r="G81" s="14"/>
      <c r="H81" s="15"/>
      <c r="I81" s="15"/>
      <c r="J81" s="15"/>
      <c r="K81" s="20"/>
      <c r="L81" s="19" t="s">
        <v>203</v>
      </c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</row>
    <row r="82" spans="2:45">
      <c r="B82" s="10" t="s">
        <v>147</v>
      </c>
      <c r="C82" s="10" t="s">
        <v>148</v>
      </c>
      <c r="D82" s="10" t="s">
        <v>61</v>
      </c>
      <c r="E82" s="10" t="s">
        <v>149</v>
      </c>
      <c r="F82" s="10"/>
      <c r="G82" s="10"/>
      <c r="H82" s="11">
        <v>9</v>
      </c>
      <c r="I82" s="11">
        <v>32</v>
      </c>
      <c r="J82" s="11">
        <v>19</v>
      </c>
      <c r="K82" s="18"/>
      <c r="L82" s="19" t="s">
        <v>202</v>
      </c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</row>
    <row r="83" spans="2:45">
      <c r="B83" s="14"/>
      <c r="C83" s="14"/>
      <c r="D83" s="14"/>
      <c r="E83" s="14"/>
      <c r="F83" s="14"/>
      <c r="G83" s="14"/>
      <c r="H83" s="15"/>
      <c r="I83" s="15"/>
      <c r="J83" s="15"/>
      <c r="K83" s="20"/>
      <c r="L83" s="19" t="s">
        <v>203</v>
      </c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</row>
    <row r="84" spans="2:45">
      <c r="B84" s="10" t="s">
        <v>151</v>
      </c>
      <c r="C84" s="10" t="s">
        <v>152</v>
      </c>
      <c r="D84" s="10" t="s">
        <v>61</v>
      </c>
      <c r="E84" s="10" t="s">
        <v>81</v>
      </c>
      <c r="F84" s="10"/>
      <c r="G84" s="10"/>
      <c r="H84" s="11">
        <v>58</v>
      </c>
      <c r="I84" s="11">
        <v>69</v>
      </c>
      <c r="J84" s="11">
        <v>76</v>
      </c>
      <c r="K84" s="18"/>
      <c r="L84" s="19" t="s">
        <v>202</v>
      </c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</row>
    <row r="85" spans="2:45">
      <c r="B85" s="14"/>
      <c r="C85" s="14"/>
      <c r="D85" s="14"/>
      <c r="E85" s="14"/>
      <c r="F85" s="14"/>
      <c r="G85" s="14"/>
      <c r="H85" s="15"/>
      <c r="I85" s="15"/>
      <c r="J85" s="15"/>
      <c r="K85" s="20"/>
      <c r="L85" s="19" t="s">
        <v>203</v>
      </c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</row>
    <row r="86" spans="2:45">
      <c r="B86" s="10" t="s">
        <v>133</v>
      </c>
      <c r="C86" s="10" t="s">
        <v>134</v>
      </c>
      <c r="D86" s="10" t="s">
        <v>61</v>
      </c>
      <c r="E86" s="10" t="s">
        <v>135</v>
      </c>
      <c r="F86" s="10"/>
      <c r="G86" s="10"/>
      <c r="H86" s="11">
        <v>67</v>
      </c>
      <c r="I86" s="11">
        <v>45</v>
      </c>
      <c r="J86" s="11">
        <v>25</v>
      </c>
      <c r="K86" s="18"/>
      <c r="L86" s="19" t="s">
        <v>202</v>
      </c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</row>
    <row r="87" spans="2:45">
      <c r="B87" s="14"/>
      <c r="C87" s="14"/>
      <c r="D87" s="14"/>
      <c r="E87" s="14"/>
      <c r="F87" s="14"/>
      <c r="G87" s="14"/>
      <c r="H87" s="15"/>
      <c r="I87" s="15"/>
      <c r="J87" s="15"/>
      <c r="K87" s="20"/>
      <c r="L87" s="19" t="s">
        <v>203</v>
      </c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</row>
    <row r="88" spans="2:45">
      <c r="B88" s="10" t="s">
        <v>71</v>
      </c>
      <c r="C88" s="10" t="s">
        <v>137</v>
      </c>
      <c r="D88" s="10" t="s">
        <v>73</v>
      </c>
      <c r="E88" s="10" t="s">
        <v>138</v>
      </c>
      <c r="F88" s="10"/>
      <c r="G88" s="10"/>
      <c r="H88" s="11">
        <v>15</v>
      </c>
      <c r="I88" s="11">
        <v>54</v>
      </c>
      <c r="J88" s="11">
        <v>87.5</v>
      </c>
      <c r="K88" s="18"/>
      <c r="L88" s="19" t="s">
        <v>202</v>
      </c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</row>
    <row r="89" spans="2:45">
      <c r="B89" s="14"/>
      <c r="C89" s="14"/>
      <c r="D89" s="14"/>
      <c r="E89" s="14"/>
      <c r="F89" s="14"/>
      <c r="G89" s="14"/>
      <c r="H89" s="15"/>
      <c r="I89" s="15"/>
      <c r="J89" s="15"/>
      <c r="K89" s="20"/>
      <c r="L89" s="19" t="s">
        <v>203</v>
      </c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</row>
    <row r="90" spans="2:45">
      <c r="B90" s="10" t="s">
        <v>140</v>
      </c>
      <c r="C90" s="10" t="s">
        <v>141</v>
      </c>
      <c r="D90" s="10" t="s">
        <v>61</v>
      </c>
      <c r="E90" s="10" t="s">
        <v>142</v>
      </c>
      <c r="F90" s="10"/>
      <c r="G90" s="10"/>
      <c r="H90" s="11">
        <v>108</v>
      </c>
      <c r="I90" s="11">
        <v>74</v>
      </c>
      <c r="J90" s="11">
        <v>25</v>
      </c>
      <c r="K90" s="18"/>
      <c r="L90" s="19" t="s">
        <v>202</v>
      </c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</row>
    <row r="91" spans="2:45">
      <c r="B91" s="14"/>
      <c r="C91" s="14"/>
      <c r="D91" s="14"/>
      <c r="E91" s="14"/>
      <c r="F91" s="14"/>
      <c r="G91" s="14"/>
      <c r="H91" s="15"/>
      <c r="I91" s="15"/>
      <c r="J91" s="15"/>
      <c r="K91" s="20"/>
      <c r="L91" s="19" t="s">
        <v>203</v>
      </c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</row>
    <row r="92" spans="2:45">
      <c r="B92" s="10" t="s">
        <v>144</v>
      </c>
      <c r="C92" s="10" t="s">
        <v>145</v>
      </c>
      <c r="D92" s="10" t="s">
        <v>61</v>
      </c>
      <c r="E92" s="10" t="s">
        <v>142</v>
      </c>
      <c r="F92" s="10"/>
      <c r="G92" s="10"/>
      <c r="H92" s="11">
        <v>68</v>
      </c>
      <c r="I92" s="11">
        <v>56</v>
      </c>
      <c r="J92" s="11">
        <v>25</v>
      </c>
      <c r="K92" s="18"/>
      <c r="L92" s="19" t="s">
        <v>202</v>
      </c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</row>
    <row r="93" spans="2:45">
      <c r="B93" s="14"/>
      <c r="C93" s="14"/>
      <c r="D93" s="14"/>
      <c r="E93" s="14"/>
      <c r="F93" s="14"/>
      <c r="G93" s="14"/>
      <c r="H93" s="15"/>
      <c r="I93" s="15"/>
      <c r="J93" s="15"/>
      <c r="K93" s="20"/>
      <c r="L93" s="19" t="s">
        <v>203</v>
      </c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</row>
    <row r="94" spans="2:45">
      <c r="B94" s="10" t="s">
        <v>147</v>
      </c>
      <c r="C94" s="10" t="s">
        <v>148</v>
      </c>
      <c r="D94" s="10" t="s">
        <v>61</v>
      </c>
      <c r="E94" s="10" t="s">
        <v>149</v>
      </c>
      <c r="F94" s="10"/>
      <c r="G94" s="10"/>
      <c r="H94" s="11">
        <v>32</v>
      </c>
      <c r="I94" s="11">
        <v>23</v>
      </c>
      <c r="J94" s="11">
        <v>25</v>
      </c>
      <c r="K94" s="18"/>
      <c r="L94" s="19" t="s">
        <v>202</v>
      </c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</row>
    <row r="95" spans="2:45">
      <c r="B95" s="14"/>
      <c r="C95" s="14"/>
      <c r="D95" s="14"/>
      <c r="E95" s="14"/>
      <c r="F95" s="14"/>
      <c r="G95" s="14"/>
      <c r="H95" s="15"/>
      <c r="I95" s="15"/>
      <c r="J95" s="15"/>
      <c r="K95" s="20"/>
      <c r="L95" s="19" t="s">
        <v>203</v>
      </c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</row>
    <row r="96" spans="2:45">
      <c r="B96" s="10" t="s">
        <v>151</v>
      </c>
      <c r="C96" s="10" t="s">
        <v>152</v>
      </c>
      <c r="D96" s="10" t="s">
        <v>61</v>
      </c>
      <c r="E96" s="10" t="s">
        <v>81</v>
      </c>
      <c r="F96" s="10"/>
      <c r="G96" s="10"/>
      <c r="H96" s="11">
        <v>76</v>
      </c>
      <c r="I96" s="11">
        <v>63</v>
      </c>
      <c r="J96" s="11">
        <v>100</v>
      </c>
      <c r="K96" s="18"/>
      <c r="L96" s="19" t="s">
        <v>202</v>
      </c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</row>
    <row r="97" spans="2:45">
      <c r="B97" s="14"/>
      <c r="C97" s="14"/>
      <c r="D97" s="14"/>
      <c r="E97" s="14"/>
      <c r="F97" s="14"/>
      <c r="G97" s="14"/>
      <c r="H97" s="15"/>
      <c r="I97" s="15"/>
      <c r="J97" s="15"/>
      <c r="K97" s="20"/>
      <c r="L97" s="19" t="s">
        <v>203</v>
      </c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</row>
    <row r="98" spans="2:45">
      <c r="B98" s="10" t="s">
        <v>198</v>
      </c>
      <c r="C98" s="10" t="s">
        <v>199</v>
      </c>
      <c r="D98" s="10" t="s">
        <v>61</v>
      </c>
      <c r="E98" s="10" t="s">
        <v>149</v>
      </c>
      <c r="F98" s="10"/>
      <c r="G98" s="10"/>
      <c r="H98" s="11">
        <v>19</v>
      </c>
      <c r="I98" s="11">
        <v>20</v>
      </c>
      <c r="J98" s="11">
        <v>18</v>
      </c>
      <c r="K98" s="18"/>
      <c r="L98" s="19" t="s">
        <v>202</v>
      </c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</row>
    <row r="99" spans="2:45">
      <c r="B99" s="14"/>
      <c r="C99" s="14"/>
      <c r="D99" s="14"/>
      <c r="E99" s="14"/>
      <c r="F99" s="14"/>
      <c r="G99" s="14"/>
      <c r="H99" s="15"/>
      <c r="I99" s="15"/>
      <c r="J99" s="15"/>
      <c r="K99" s="20"/>
      <c r="L99" s="19" t="s">
        <v>203</v>
      </c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</row>
  </sheetData>
  <mergeCells count="359"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E54:E55"/>
    <mergeCell ref="E56:E57"/>
    <mergeCell ref="E58:E59"/>
    <mergeCell ref="E60:E61"/>
    <mergeCell ref="E62:E63"/>
    <mergeCell ref="E64:E65"/>
    <mergeCell ref="E66:E67"/>
    <mergeCell ref="E68:E69"/>
    <mergeCell ref="E70:E71"/>
    <mergeCell ref="E72:E73"/>
    <mergeCell ref="E74:E75"/>
    <mergeCell ref="E76:E77"/>
    <mergeCell ref="E78:E79"/>
    <mergeCell ref="E80:E81"/>
    <mergeCell ref="E82:E83"/>
    <mergeCell ref="E84:E85"/>
    <mergeCell ref="E86:E87"/>
    <mergeCell ref="E88:E89"/>
    <mergeCell ref="E90:E91"/>
    <mergeCell ref="E92:E93"/>
    <mergeCell ref="E94:E95"/>
    <mergeCell ref="E96:E97"/>
    <mergeCell ref="E98:E99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I2:I3"/>
    <mergeCell ref="I4:I5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4:I55"/>
    <mergeCell ref="I56:I57"/>
    <mergeCell ref="I58:I59"/>
    <mergeCell ref="I60:I61"/>
    <mergeCell ref="I62:I63"/>
    <mergeCell ref="I64:I65"/>
    <mergeCell ref="I66:I67"/>
    <mergeCell ref="I68:I69"/>
    <mergeCell ref="I70:I71"/>
    <mergeCell ref="I72:I73"/>
    <mergeCell ref="I74:I75"/>
    <mergeCell ref="I76:I77"/>
    <mergeCell ref="I78:I79"/>
    <mergeCell ref="I80:I81"/>
    <mergeCell ref="I82:I83"/>
    <mergeCell ref="I84:I85"/>
    <mergeCell ref="I86:I87"/>
    <mergeCell ref="I88:I89"/>
    <mergeCell ref="I90:I91"/>
    <mergeCell ref="I92:I93"/>
    <mergeCell ref="I94:I95"/>
    <mergeCell ref="I96:I97"/>
    <mergeCell ref="I98:I99"/>
    <mergeCell ref="J2:J3"/>
    <mergeCell ref="J4:J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K2:K3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2:K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表格说明</vt:lpstr>
      <vt:lpstr>1.原始生产计划</vt:lpstr>
      <vt:lpstr>2.BOM表</vt:lpstr>
      <vt:lpstr>3.物料库存表</vt:lpstr>
      <vt:lpstr>4.物料需求明细表</vt:lpstr>
      <vt:lpstr>5.物料需求汇总表</vt:lpstr>
      <vt:lpstr>6.缺料明细表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许伟峰</cp:lastModifiedBy>
  <dcterms:created xsi:type="dcterms:W3CDTF">2026-03-11T00:55:00Z</dcterms:created>
  <dcterms:modified xsi:type="dcterms:W3CDTF">2026-04-10T09:11:42Z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4D95AF7D41614B41BC1474B808BC8DBF_12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